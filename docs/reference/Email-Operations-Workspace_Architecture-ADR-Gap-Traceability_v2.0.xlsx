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dc5a5cd8f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Overview" sheetId="1" r:id="Rc6f703d503aa41dd"/>
    <x:sheet xmlns:r="http://schemas.openxmlformats.org/officeDocument/2006/relationships" name="01 ADR Register" sheetId="2" r:id="Rcb6024870a5b4d90"/>
    <x:sheet xmlns:r="http://schemas.openxmlformats.org/officeDocument/2006/relationships" name="02 Boilerplates" sheetId="3" r:id="R3465d0c21a064221"/>
    <x:sheet xmlns:r="http://schemas.openxmlformats.org/officeDocument/2006/relationships" name="03 Library Baseline" sheetId="4" r:id="Reff50529f0e54e4a"/>
    <x:sheet xmlns:r="http://schemas.openxmlformats.org/officeDocument/2006/relationships" name="04 Realtime Events" sheetId="5" r:id="R606f4b0abf0149e2"/>
    <x:sheet xmlns:r="http://schemas.openxmlformats.org/officeDocument/2006/relationships" name="05 Notification Rules" sheetId="6" r:id="Re5cb157fe0ac4642"/>
    <x:sheet xmlns:r="http://schemas.openxmlformats.org/officeDocument/2006/relationships" name="06 Business Gaps" sheetId="7" r:id="R1bb380859d72411a"/>
    <x:sheet xmlns:r="http://schemas.openxmlformats.org/officeDocument/2006/relationships" name="07 Delivery Roadmap" sheetId="8" r:id="Rd2a00aae1c9a43f8"/>
    <x:sheet xmlns:r="http://schemas.openxmlformats.org/officeDocument/2006/relationships" name="08 Sources" sheetId="9" r:id="Rf94db8c2abf5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b/>
      <x:sz val="10"/>
      <x:color rgb="FFC2410C"/>
      <x:name val="Carlito"/>
    </x:font>
    <x:font>
      <x:b/>
      <x:sz val="11"/>
      <x:color rgb="FF3538CD"/>
      <x:name val="Carlito"/>
    </x:font>
    <x:font>
      <x:sz val="9"/>
      <x:color rgb="FF172033"/>
      <x:name val="Carlito"/>
    </x:font>
    <x:font>
      <x:b/>
      <x:sz val="9"/>
      <x:color rgb="FFC2410C"/>
      <x:name val="Carlito"/>
    </x:font>
    <x:font>
      <x:sz val="8"/>
      <x:color rgb="FF172033"/>
      <x:name val="Carlito"/>
    </x:font>
    <x:font>
      <x:b/>
      <x:sz val="8"/>
      <x:color rgb="FFB42318"/>
      <x:name val="Carlito"/>
    </x:font>
    <x:font>
      <x:b/>
      <x:sz val="8"/>
      <x:color rgb="FFB54708"/>
      <x:name val="Carlito"/>
    </x:font>
    <x:font>
      <x:b/>
      <x:sz val="8"/>
      <x:color rgb="FF3538CD"/>
      <x:name val="Carlito"/>
    </x:font>
    <x:font>
      <x:b/>
      <x:sz val="8"/>
      <x:color rgb="FFC2410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C2410C"/>
      </x:patternFill>
    </x:fill>
    <x:fill>
      <x:patternFill patternType="solid">
        <x:fgColor rgb="FFFFF7ED"/>
      </x:patternFill>
    </x:fill>
    <x:fill>
      <x:patternFill patternType="solid">
        <x:fgColor rgb="FF172033"/>
      </x:patternFill>
    </x:fill>
    <x:fill>
      <x:patternFill patternType="solid">
        <x:fgColor rgb="FFEEF4FF"/>
      </x:patternFill>
    </x:fill>
    <x:fill>
      <x:patternFill patternType="solid">
        <x:fgColor rgb="FFFEE4E2"/>
      </x:patternFill>
    </x:fill>
    <x:fill>
      <x:patternFill patternType="solid">
        <x:fgColor rgb="FFFFFAEB"/>
      </x:patternFill>
    </x:fill>
  </x:fills>
  <x:borders count="13">
    <x:border/>
    <x:border>
      <x:left style="thin">
        <x:color rgb="FF172033"/>
      </x:left>
      <x:top style="thin">
        <x:color rgb="FF172033"/>
      </x:top>
      <x:bottom style="thin">
        <x:color rgb="FF172033"/>
      </x:bottom>
    </x:border>
    <x:border>
      <x:top style="thin">
        <x:color rgb="FF172033"/>
      </x:top>
      <x:bottom style="thin">
        <x:color rgb="FF172033"/>
      </x:bottom>
    </x:border>
    <x:border>
      <x:right style="thin">
        <x:color rgb="FF172033"/>
      </x:right>
      <x:top style="thin">
        <x:color rgb="FF172033"/>
      </x:top>
      <x:bottom style="thin">
        <x:color rgb="FF172033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  <x:bottom style="thin">
        <x:color rgb="FFD0D5DD"/>
      </x:bottom>
    </x:border>
    <x:border>
      <x:left style="medium">
        <x:color rgb="FFF97316"/>
      </x:left>
      <x:top style="medium">
        <x:color rgb="FFF97316"/>
      </x:top>
      <x:bottom style="medium">
        <x:color rgb="FFF97316"/>
      </x:bottom>
    </x:border>
    <x:border>
      <x:top style="medium">
        <x:color rgb="FFF97316"/>
      </x:top>
      <x:bottom style="medium">
        <x:color rgb="FFF97316"/>
      </x:bottom>
    </x:border>
    <x:border>
      <x:right style="medium">
        <x:color rgb="FFF97316"/>
      </x:right>
      <x:top style="medium">
        <x:color rgb="FFF97316"/>
      </x:top>
      <x:bottom style="medium">
        <x:color rgb="FFF97316"/>
      </x:bottom>
    </x:border>
    <x:border>
      <x:left style="thin">
        <x:color rgb="FFA4BCFD"/>
      </x:left>
      <x:top style="thin">
        <x:color rgb="FFA4BCFD"/>
      </x:top>
      <x:bottom style="thin">
        <x:color rgb="FFA4BCFD"/>
      </x:bottom>
    </x:border>
    <x:border>
      <x:top style="thin">
        <x:color rgb="FFA4BCFD"/>
      </x:top>
      <x:bottom style="thin">
        <x:color rgb="FFA4BCFD"/>
      </x:bottom>
    </x:border>
    <x:border>
      <x:right style="thin">
        <x:color rgb="FFA4BCFD"/>
      </x:right>
      <x:top style="thin">
        <x:color rgb="FFA4BCFD"/>
      </x:top>
      <x:bottom style="thin">
        <x:color rgb="FFA4BCFD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5" fillId="3" borderId="8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5" fillId="3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8" fillId="3" borderId="4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8" fillId="3" borderId="6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vertical="top" wrapText="1"/>
    </x:xf>
    <x:xf numFmtId="0" fontId="10" fillId="6" borderId="4" xfId="0" applyNumberFormat="1" applyFont="1" applyFill="1" applyBorder="1" applyAlignment="1">
      <x:alignment vertical="top" wrapText="1"/>
    </x:xf>
    <x:xf numFmtId="0" fontId="10" fillId="6" borderId="4" xfId="0" applyNumberFormat="1" applyFont="1" applyFill="1" applyBorder="1" applyAlignment="1">
      <x:alignment horizontal="center" vertical="top" wrapText="1"/>
    </x:xf>
    <x:xf numFmtId="0" fontId="10" fillId="6" borderId="4" xfId="0" applyNumberFormat="1" applyFont="1" applyFill="1" applyBorder="1" applyAlignment="1">
      <x:alignment horizontal="center" vertical="center" wrapText="1"/>
    </x:xf>
    <x:xf numFmtId="0" fontId="9" fillId="6" borderId="5" xfId="0" applyNumberFormat="1" applyFont="1" applyFill="1" applyBorder="1" applyAlignment="1">
      <x:alignment vertical="top" wrapText="1"/>
    </x:xf>
    <x:xf numFmtId="0" fontId="10" fillId="6" borderId="5" xfId="0" applyNumberFormat="1" applyFont="1" applyFill="1" applyBorder="1" applyAlignment="1">
      <x:alignment vertical="top" wrapText="1"/>
    </x:xf>
    <x:xf numFmtId="0" fontId="10" fillId="6" borderId="5" xfId="0" applyNumberFormat="1" applyFont="1" applyFill="1" applyBorder="1" applyAlignment="1">
      <x:alignment horizontal="center" vertical="top" wrapText="1"/>
    </x:xf>
    <x:xf numFmtId="0" fontId="10" fillId="6" borderId="5" xfId="0" applyNumberFormat="1" applyFont="1" applyFill="1" applyBorder="1" applyAlignment="1">
      <x:alignment horizontal="center" vertical="center" wrapText="1"/>
    </x:xf>
    <x:xf numFmtId="0" fontId="9" fillId="7" borderId="5" xfId="0" applyNumberFormat="1" applyFont="1" applyFill="1" applyBorder="1" applyAlignment="1">
      <x:alignment vertical="top" wrapText="1"/>
    </x:xf>
    <x:xf numFmtId="0" fontId="11" fillId="7" borderId="5" xfId="0" applyNumberFormat="1" applyFont="1" applyFill="1" applyBorder="1" applyAlignment="1">
      <x:alignment vertical="top" wrapText="1"/>
    </x:xf>
    <x:xf numFmtId="0" fontId="11" fillId="7" borderId="5" xfId="0" applyNumberFormat="1" applyFont="1" applyFill="1" applyBorder="1" applyAlignment="1">
      <x:alignment horizontal="center" vertical="top" wrapText="1"/>
    </x:xf>
    <x:xf numFmtId="0" fontId="11" fillId="7" borderId="5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vertical="top" wrapText="1"/>
    </x:xf>
    <x:xf numFmtId="0" fontId="12" fillId="5" borderId="5" xfId="0" applyNumberFormat="1" applyFont="1" applyFill="1" applyBorder="1" applyAlignment="1">
      <x:alignment vertical="top" wrapText="1"/>
    </x:xf>
    <x:xf numFmtId="0" fontId="12" fillId="5" borderId="5" xfId="0" applyNumberFormat="1" applyFont="1" applyFill="1" applyBorder="1" applyAlignment="1">
      <x:alignment horizontal="center" vertical="top" wrapText="1"/>
    </x:xf>
    <x:xf numFmtId="0" fontId="12" fillId="5" borderId="5" xfId="0" applyNumberFormat="1" applyFont="1" applyFill="1" applyBorder="1" applyAlignment="1">
      <x:alignment horizontal="center" vertical="center" wrapText="1"/>
    </x:xf>
    <x:xf numFmtId="0" fontId="9" fillId="5" borderId="6" xfId="0" applyNumberFormat="1" applyFont="1" applyFill="1" applyBorder="1" applyAlignment="1">
      <x:alignment vertical="top" wrapText="1"/>
    </x:xf>
    <x:xf numFmtId="0" fontId="12" fillId="5" borderId="6" xfId="0" applyNumberFormat="1" applyFont="1" applyFill="1" applyBorder="1" applyAlignment="1">
      <x:alignment vertical="top" wrapText="1"/>
    </x:xf>
    <x:xf numFmtId="0" fontId="12" fillId="5" borderId="6" xfId="0" applyNumberFormat="1" applyFont="1" applyFill="1" applyBorder="1" applyAlignment="1">
      <x:alignment horizontal="center" vertical="top" wrapText="1"/>
    </x:xf>
    <x:xf numFmtId="0" fontId="12" fillId="5" borderId="6" xfId="0" applyNumberFormat="1" applyFont="1" applyFill="1" applyBorder="1" applyAlignment="1">
      <x:alignment horizontal="center" vertical="center" wrapText="1"/>
    </x:xf>
    <x:xf numFmtId="0" fontId="9" fillId="7" borderId="6" xfId="0" applyNumberFormat="1" applyFont="1" applyFill="1" applyBorder="1" applyAlignment="1">
      <x:alignment vertical="top" wrapText="1"/>
    </x:xf>
    <x:xf numFmtId="0" fontId="11" fillId="7" borderId="6" xfId="0" applyNumberFormat="1" applyFont="1" applyFill="1" applyBorder="1" applyAlignment="1">
      <x:alignment vertical="top" wrapText="1"/>
    </x:xf>
    <x:xf numFmtId="0" fontId="11" fillId="7" borderId="6" xfId="0" applyNumberFormat="1" applyFont="1" applyFill="1" applyBorder="1" applyAlignment="1">
      <x:alignment horizontal="center" vertical="top" wrapText="1"/>
    </x:xf>
    <x:xf numFmtId="0" fontId="11" fillId="7" borderId="6" xfId="0" applyNumberFormat="1" applyFont="1" applyFill="1" applyBorder="1" applyAlignment="1">
      <x:alignment horizontal="center" vertical="center"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c440384664b34" /><Relationship Type="http://schemas.openxmlformats.org/officeDocument/2006/relationships/theme" Target="/xl/theme/theme1.xml" Id="Rea69c5837d7f4c00" /><Relationship Type="http://schemas.openxmlformats.org/officeDocument/2006/relationships/sharedStrings" Target="/xl/sharedStrings.xml" Id="Re268da09ba6945be" /><Relationship Type="http://schemas.openxmlformats.org/officeDocument/2006/relationships/worksheet" Target="/xl/worksheets/sheet1.xml" Id="Rc6f703d503aa41dd" /><Relationship Type="http://schemas.openxmlformats.org/officeDocument/2006/relationships/worksheet" Target="/xl/worksheets/sheet2.xml" Id="Rcb6024870a5b4d90" /><Relationship Type="http://schemas.openxmlformats.org/officeDocument/2006/relationships/worksheet" Target="/xl/worksheets/sheet3.xml" Id="R3465d0c21a064221" /><Relationship Type="http://schemas.openxmlformats.org/officeDocument/2006/relationships/worksheet" Target="/xl/worksheets/sheet4.xml" Id="Reff50529f0e54e4a" /><Relationship Type="http://schemas.openxmlformats.org/officeDocument/2006/relationships/worksheet" Target="/xl/worksheets/sheet5.xml" Id="R606f4b0abf0149e2" /><Relationship Type="http://schemas.openxmlformats.org/officeDocument/2006/relationships/worksheet" Target="/xl/worksheets/sheet6.xml" Id="Re5cb157fe0ac4642" /><Relationship Type="http://schemas.openxmlformats.org/officeDocument/2006/relationships/worksheet" Target="/xl/worksheets/sheet7.xml" Id="R1bb380859d72411a" /><Relationship Type="http://schemas.openxmlformats.org/officeDocument/2006/relationships/worksheet" Target="/xl/worksheets/sheet8.xml" Id="Rd2a00aae1c9a43f8" /><Relationship Type="http://schemas.openxmlformats.org/officeDocument/2006/relationships/worksheet" Target="/xl/worksheets/sheet9.xml" Id="Rf94db8c2abf542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" hidden="0" customWidth="1"/>
    <x:col min="3" max="3" width="9" hidden="0" customWidth="1"/>
    <x:col min="4" max="4" width="9" hidden="0" customWidth="1"/>
    <x:col min="5" max="5" width="9" hidden="0" customWidth="1"/>
    <x:col min="6" max="6" width="10" hidden="0" customWidth="1"/>
    <x:col min="7" max="7" width="10" hidden="0" customWidth="1"/>
    <x:col min="8" max="8" width="12" hidden="0" customWidth="1"/>
  </x:cols>
  <x:sheetData>
    <x:row r="1" ht="34" customHeight="1">
      <x:c r="A1" s="3" t="str">
        <x:v>EMAIL OPERATIONS WORKSPACE — ARCHITECTURE COVERAGE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Version 2.0 | 2026-08-10 | ADR, stack decisions, realtime, notifications and business gaps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Gap domain</x:v>
      </x:c>
      <x:c r="B4" s="16" t="str">
        <x:v>Total</x:v>
      </x:c>
      <x:c r="C4" s="16" t="str">
        <x:v>P0</x:v>
      </x:c>
      <x:c r="D4" s="16" t="str">
        <x:v>P1</x:v>
      </x:c>
      <x:c r="E4" s="16" t="str">
        <x:v>P2</x:v>
      </x:c>
      <x:c r="F4" s="16" t="str">
        <x:v>MVP</x:v>
      </x:c>
      <x:c r="G4" s="16" t="str">
        <x:v>Open</x:v>
      </x:c>
      <x:c r="H4" s="17" t="str">
        <x:v>Closure %</x:v>
      </x:c>
    </x:row>
    <x:row r="5">
      <x:c r="A5" s="25" t="str">
        <x:v>Audience &amp; variables</x:v>
      </x:c>
      <x:c r="B5" s="33" t="n">
        <x:f>COUNTIF('06 Business Gaps'!$B$6:$B$80,A5)</x:f>
        <x:v>6</x:v>
      </x:c>
      <x:c r="C5" s="33" t="n">
        <x:f>COUNTIFS('06 Business Gaps'!$B$6:$B$80,A5,'06 Business Gaps'!$F$6:$F$80,"P0")</x:f>
        <x:v>4</x:v>
      </x:c>
      <x:c r="D5" s="33" t="n">
        <x:f>COUNTIFS('06 Business Gaps'!$B$6:$B$80,A5,'06 Business Gaps'!$F$6:$F$80,"P1")</x:f>
        <x:v>2</x:v>
      </x:c>
      <x:c r="E5" s="33" t="n">
        <x:f>COUNTIFS('06 Business Gaps'!$B$6:$B$80,A5,'06 Business Gaps'!$F$6:$F$80,"P2")</x:f>
        <x:v>0</x:v>
      </x:c>
      <x:c r="F5" s="33" t="n">
        <x:f>COUNTIFS('06 Business Gaps'!$B$6:$B$80,A5,'06 Business Gaps'!$G$6:$G$80,"MVP")</x:f>
        <x:v>4</x:v>
      </x:c>
      <x:c r="G5" s="33" t="n">
        <x:f>COUNTIFS('06 Business Gaps'!$B$6:$B$80,A5,'06 Business Gaps'!$J$6:$J$80,"Open")</x:f>
        <x:v>6</x:v>
      </x:c>
      <x:c r="H5" s="36" t="n">
        <x:f>IF(B5=0,0,1-G5/B5)</x:f>
        <x:v>0</x:v>
      </x:c>
    </x:row>
    <x:row r="6">
      <x:c r="A6" s="26" t="str">
        <x:v>Campaign lifecycle</x:v>
      </x:c>
      <x:c r="B6" s="34" t="n">
        <x:f>COUNTIF('06 Business Gaps'!$B$6:$B$80,A6)</x:f>
        <x:v>8</x:v>
      </x:c>
      <x:c r="C6" s="34" t="n">
        <x:f>COUNTIFS('06 Business Gaps'!$B$6:$B$80,A6,'06 Business Gaps'!$F$6:$F$80,"P0")</x:f>
        <x:v>3</x:v>
      </x:c>
      <x:c r="D6" s="34" t="n">
        <x:f>COUNTIFS('06 Business Gaps'!$B$6:$B$80,A6,'06 Business Gaps'!$F$6:$F$80,"P1")</x:f>
        <x:v>5</x:v>
      </x:c>
      <x:c r="E6" s="34" t="n">
        <x:f>COUNTIFS('06 Business Gaps'!$B$6:$B$80,A6,'06 Business Gaps'!$F$6:$F$80,"P2")</x:f>
        <x:v>0</x:v>
      </x:c>
      <x:c r="F6" s="34" t="n">
        <x:f>COUNTIFS('06 Business Gaps'!$B$6:$B$80,A6,'06 Business Gaps'!$G$6:$G$80,"MVP")</x:f>
        <x:v>7</x:v>
      </x:c>
      <x:c r="G6" s="34" t="n">
        <x:f>COUNTIFS('06 Business Gaps'!$B$6:$B$80,A6,'06 Business Gaps'!$J$6:$J$80,"Open")</x:f>
        <x:v>8</x:v>
      </x:c>
      <x:c r="H6" s="37" t="n">
        <x:f>IF(B6=0,0,1-G6/B6)</x:f>
        <x:v>0</x:v>
      </x:c>
    </x:row>
    <x:row r="7">
      <x:c r="A7" s="26" t="str">
        <x:v>Collaboration &amp; approval</x:v>
      </x:c>
      <x:c r="B7" s="34" t="n">
        <x:f>COUNTIF('06 Business Gaps'!$B$6:$B$80,A7)</x:f>
        <x:v>4</x:v>
      </x:c>
      <x:c r="C7" s="34" t="n">
        <x:f>COUNTIFS('06 Business Gaps'!$B$6:$B$80,A7,'06 Business Gaps'!$F$6:$F$80,"P0")</x:f>
        <x:v>0</x:v>
      </x:c>
      <x:c r="D7" s="34" t="n">
        <x:f>COUNTIFS('06 Business Gaps'!$B$6:$B$80,A7,'06 Business Gaps'!$F$6:$F$80,"P1")</x:f>
        <x:v>2</x:v>
      </x:c>
      <x:c r="E7" s="34" t="n">
        <x:f>COUNTIFS('06 Business Gaps'!$B$6:$B$80,A7,'06 Business Gaps'!$F$6:$F$80,"P2")</x:f>
        <x:v>2</x:v>
      </x:c>
      <x:c r="F7" s="34" t="n">
        <x:f>COUNTIFS('06 Business Gaps'!$B$6:$B$80,A7,'06 Business Gaps'!$G$6:$G$80,"MVP")</x:f>
        <x:v>1</x:v>
      </x:c>
      <x:c r="G7" s="34" t="n">
        <x:f>COUNTIFS('06 Business Gaps'!$B$6:$B$80,A7,'06 Business Gaps'!$J$6:$J$80,"Open")</x:f>
        <x:v>4</x:v>
      </x:c>
      <x:c r="H7" s="37" t="n">
        <x:f>IF(B7=0,0,1-G7/B7)</x:f>
        <x:v>0</x:v>
      </x:c>
    </x:row>
    <x:row r="8">
      <x:c r="A8" s="26" t="str">
        <x:v>History &amp; analytics</x:v>
      </x:c>
      <x:c r="B8" s="34" t="n">
        <x:f>COUNTIF('06 Business Gaps'!$B$6:$B$80,A8)</x:f>
        <x:v>5</x:v>
      </x:c>
      <x:c r="C8" s="34" t="n">
        <x:f>COUNTIFS('06 Business Gaps'!$B$6:$B$80,A8,'06 Business Gaps'!$F$6:$F$80,"P0")</x:f>
        <x:v>3</x:v>
      </x:c>
      <x:c r="D8" s="34" t="n">
        <x:f>COUNTIFS('06 Business Gaps'!$B$6:$B$80,A8,'06 Business Gaps'!$F$6:$F$80,"P1")</x:f>
        <x:v>1</x:v>
      </x:c>
      <x:c r="E8" s="34" t="n">
        <x:f>COUNTIFS('06 Business Gaps'!$B$6:$B$80,A8,'06 Business Gaps'!$F$6:$F$80,"P2")</x:f>
        <x:v>1</x:v>
      </x:c>
      <x:c r="F8" s="34" t="n">
        <x:f>COUNTIFS('06 Business Gaps'!$B$6:$B$80,A8,'06 Business Gaps'!$G$6:$G$80,"MVP")</x:f>
        <x:v>4</x:v>
      </x:c>
      <x:c r="G8" s="34" t="n">
        <x:f>COUNTIFS('06 Business Gaps'!$B$6:$B$80,A8,'06 Business Gaps'!$J$6:$J$80,"Open")</x:f>
        <x:v>5</x:v>
      </x:c>
      <x:c r="H8" s="37" t="n">
        <x:f>IF(B8=0,0,1-G8/B8)</x:f>
        <x:v>0</x:v>
      </x:c>
    </x:row>
    <x:row r="9">
      <x:c r="A9" s="26" t="str">
        <x:v>Import/export</x:v>
      </x:c>
      <x:c r="B9" s="34" t="n">
        <x:f>COUNTIF('06 Business Gaps'!$B$6:$B$80,A9)</x:f>
        <x:v>4</x:v>
      </x:c>
      <x:c r="C9" s="34" t="n">
        <x:f>COUNTIFS('06 Business Gaps'!$B$6:$B$80,A9,'06 Business Gaps'!$F$6:$F$80,"P0")</x:f>
        <x:v>2</x:v>
      </x:c>
      <x:c r="D9" s="34" t="n">
        <x:f>COUNTIFS('06 Business Gaps'!$B$6:$B$80,A9,'06 Business Gaps'!$F$6:$F$80,"P1")</x:f>
        <x:v>2</x:v>
      </x:c>
      <x:c r="E9" s="34" t="n">
        <x:f>COUNTIFS('06 Business Gaps'!$B$6:$B$80,A9,'06 Business Gaps'!$F$6:$F$80,"P2")</x:f>
        <x:v>0</x:v>
      </x:c>
      <x:c r="F9" s="34" t="n">
        <x:f>COUNTIFS('06 Business Gaps'!$B$6:$B$80,A9,'06 Business Gaps'!$G$6:$G$80,"MVP")</x:f>
        <x:v>3</x:v>
      </x:c>
      <x:c r="G9" s="34" t="n">
        <x:f>COUNTIFS('06 Business Gaps'!$B$6:$B$80,A9,'06 Business Gaps'!$J$6:$J$80,"Open")</x:f>
        <x:v>4</x:v>
      </x:c>
      <x:c r="H9" s="37" t="n">
        <x:f>IF(B9=0,0,1-G9/B9)</x:f>
        <x:v>0</x:v>
      </x:c>
    </x:row>
    <x:row r="10">
      <x:c r="A10" s="26" t="str">
        <x:v>Notification</x:v>
      </x:c>
      <x:c r="B10" s="34" t="n">
        <x:f>COUNTIF('06 Business Gaps'!$B$6:$B$80,A10)</x:f>
        <x:v>6</x:v>
      </x:c>
      <x:c r="C10" s="34" t="n">
        <x:f>COUNTIFS('06 Business Gaps'!$B$6:$B$80,A10,'06 Business Gaps'!$F$6:$F$80,"P0")</x:f>
        <x:v>3</x:v>
      </x:c>
      <x:c r="D10" s="34" t="n">
        <x:f>COUNTIFS('06 Business Gaps'!$B$6:$B$80,A10,'06 Business Gaps'!$F$6:$F$80,"P1")</x:f>
        <x:v>2</x:v>
      </x:c>
      <x:c r="E10" s="34" t="n">
        <x:f>COUNTIFS('06 Business Gaps'!$B$6:$B$80,A10,'06 Business Gaps'!$F$6:$F$80,"P2")</x:f>
        <x:v>1</x:v>
      </x:c>
      <x:c r="F10" s="34" t="n">
        <x:f>COUNTIFS('06 Business Gaps'!$B$6:$B$80,A10,'06 Business Gaps'!$G$6:$G$80,"MVP")</x:f>
        <x:v>4</x:v>
      </x:c>
      <x:c r="G10" s="34" t="n">
        <x:f>COUNTIFS('06 Business Gaps'!$B$6:$B$80,A10,'06 Business Gaps'!$J$6:$J$80,"Open")</x:f>
        <x:v>6</x:v>
      </x:c>
      <x:c r="H10" s="37" t="n">
        <x:f>IF(B10=0,0,1-G10/B10)</x:f>
        <x:v>0</x:v>
      </x:c>
    </x:row>
    <x:row r="11">
      <x:c r="A11" s="26" t="str">
        <x:v>Operations</x:v>
      </x:c>
      <x:c r="B11" s="34" t="n">
        <x:f>COUNTIF('06 Business Gaps'!$B$6:$B$80,A11)</x:f>
        <x:v>5</x:v>
      </x:c>
      <x:c r="C11" s="34" t="n">
        <x:f>COUNTIFS('06 Business Gaps'!$B$6:$B$80,A11,'06 Business Gaps'!$F$6:$F$80,"P0")</x:f>
        <x:v>2</x:v>
      </x:c>
      <x:c r="D11" s="34" t="n">
        <x:f>COUNTIFS('06 Business Gaps'!$B$6:$B$80,A11,'06 Business Gaps'!$F$6:$F$80,"P1")</x:f>
        <x:v>3</x:v>
      </x:c>
      <x:c r="E11" s="34" t="n">
        <x:f>COUNTIFS('06 Business Gaps'!$B$6:$B$80,A11,'06 Business Gaps'!$F$6:$F$80,"P2")</x:f>
        <x:v>0</x:v>
      </x:c>
      <x:c r="F11" s="34" t="n">
        <x:f>COUNTIFS('06 Business Gaps'!$B$6:$B$80,A11,'06 Business Gaps'!$G$6:$G$80,"MVP")</x:f>
        <x:v>5</x:v>
      </x:c>
      <x:c r="G11" s="34" t="n">
        <x:f>COUNTIFS('06 Business Gaps'!$B$6:$B$80,A11,'06 Business Gaps'!$J$6:$J$80,"Open")</x:f>
        <x:v>5</x:v>
      </x:c>
      <x:c r="H11" s="37" t="n">
        <x:f>IF(B11=0,0,1-G11/B11)</x:f>
        <x:v>0</x:v>
      </x:c>
    </x:row>
    <x:row r="12">
      <x:c r="A12" s="26" t="str">
        <x:v>Organization &amp; users</x:v>
      </x:c>
      <x:c r="B12" s="34" t="n">
        <x:f>COUNTIF('06 Business Gaps'!$B$6:$B$80,A12)</x:f>
        <x:v>6</x:v>
      </x:c>
      <x:c r="C12" s="34" t="n">
        <x:f>COUNTIFS('06 Business Gaps'!$B$6:$B$80,A12,'06 Business Gaps'!$F$6:$F$80,"P0")</x:f>
        <x:v>1</x:v>
      </x:c>
      <x:c r="D12" s="34" t="n">
        <x:f>COUNTIFS('06 Business Gaps'!$B$6:$B$80,A12,'06 Business Gaps'!$F$6:$F$80,"P1")</x:f>
        <x:v>4</x:v>
      </x:c>
      <x:c r="E12" s="34" t="n">
        <x:f>COUNTIFS('06 Business Gaps'!$B$6:$B$80,A12,'06 Business Gaps'!$F$6:$F$80,"P2")</x:f>
        <x:v>1</x:v>
      </x:c>
      <x:c r="F12" s="34" t="n">
        <x:f>COUNTIFS('06 Business Gaps'!$B$6:$B$80,A12,'06 Business Gaps'!$G$6:$G$80,"MVP")</x:f>
        <x:v>4</x:v>
      </x:c>
      <x:c r="G12" s="34" t="n">
        <x:f>COUNTIFS('06 Business Gaps'!$B$6:$B$80,A12,'06 Business Gaps'!$J$6:$J$80,"Open")</x:f>
        <x:v>6</x:v>
      </x:c>
      <x:c r="H12" s="37" t="n">
        <x:f>IF(B12=0,0,1-G12/B12)</x:f>
        <x:v>0</x:v>
      </x:c>
    </x:row>
    <x:row r="13">
      <x:c r="A13" s="26" t="str">
        <x:v>Realtime</x:v>
      </x:c>
      <x:c r="B13" s="34" t="n">
        <x:f>COUNTIF('06 Business Gaps'!$B$6:$B$80,A13)</x:f>
        <x:v>6</x:v>
      </x:c>
      <x:c r="C13" s="34" t="n">
        <x:f>COUNTIFS('06 Business Gaps'!$B$6:$B$80,A13,'06 Business Gaps'!$F$6:$F$80,"P0")</x:f>
        <x:v>4</x:v>
      </x:c>
      <x:c r="D13" s="34" t="n">
        <x:f>COUNTIFS('06 Business Gaps'!$B$6:$B$80,A13,'06 Business Gaps'!$F$6:$F$80,"P1")</x:f>
        <x:v>2</x:v>
      </x:c>
      <x:c r="E13" s="34" t="n">
        <x:f>COUNTIFS('06 Business Gaps'!$B$6:$B$80,A13,'06 Business Gaps'!$F$6:$F$80,"P2")</x:f>
        <x:v>0</x:v>
      </x:c>
      <x:c r="F13" s="34" t="n">
        <x:f>COUNTIFS('06 Business Gaps'!$B$6:$B$80,A13,'06 Business Gaps'!$G$6:$G$80,"MVP")</x:f>
        <x:v>6</x:v>
      </x:c>
      <x:c r="G13" s="34" t="n">
        <x:f>COUNTIFS('06 Business Gaps'!$B$6:$B$80,A13,'06 Business Gaps'!$J$6:$J$80,"Open")</x:f>
        <x:v>6</x:v>
      </x:c>
      <x:c r="H13" s="37" t="n">
        <x:f>IF(B13=0,0,1-G13/B13)</x:f>
        <x:v>0</x:v>
      </x:c>
    </x:row>
    <x:row r="14">
      <x:c r="A14" s="26" t="str">
        <x:v>Scheduling</x:v>
      </x:c>
      <x:c r="B14" s="34" t="n">
        <x:f>COUNTIF('06 Business Gaps'!$B$6:$B$80,A14)</x:f>
        <x:v>3</x:v>
      </x:c>
      <x:c r="C14" s="34" t="n">
        <x:f>COUNTIFS('06 Business Gaps'!$B$6:$B$80,A14,'06 Business Gaps'!$F$6:$F$80,"P0")</x:f>
        <x:v>1</x:v>
      </x:c>
      <x:c r="D14" s="34" t="n">
        <x:f>COUNTIFS('06 Business Gaps'!$B$6:$B$80,A14,'06 Business Gaps'!$F$6:$F$80,"P1")</x:f>
        <x:v>1</x:v>
      </x:c>
      <x:c r="E14" s="34" t="n">
        <x:f>COUNTIFS('06 Business Gaps'!$B$6:$B$80,A14,'06 Business Gaps'!$F$6:$F$80,"P2")</x:f>
        <x:v>1</x:v>
      </x:c>
      <x:c r="F14" s="34" t="n">
        <x:f>COUNTIFS('06 Business Gaps'!$B$6:$B$80,A14,'06 Business Gaps'!$G$6:$G$80,"MVP")</x:f>
        <x:v>2</x:v>
      </x:c>
      <x:c r="G14" s="34" t="n">
        <x:f>COUNTIFS('06 Business Gaps'!$B$6:$B$80,A14,'06 Business Gaps'!$J$6:$J$80,"Open")</x:f>
        <x:v>3</x:v>
      </x:c>
      <x:c r="H14" s="37" t="n">
        <x:f>IF(B14=0,0,1-G14/B14)</x:f>
        <x:v>0</x:v>
      </x:c>
    </x:row>
    <x:row r="15">
      <x:c r="A15" s="26" t="str">
        <x:v>Security &amp; governance</x:v>
      </x:c>
      <x:c r="B15" s="34" t="n">
        <x:f>COUNTIF('06 Business Gaps'!$B$6:$B$80,A15)</x:f>
        <x:v>6</x:v>
      </x:c>
      <x:c r="C15" s="34" t="n">
        <x:f>COUNTIFS('06 Business Gaps'!$B$6:$B$80,A15,'06 Business Gaps'!$F$6:$F$80,"P0")</x:f>
        <x:v>4</x:v>
      </x:c>
      <x:c r="D15" s="34" t="n">
        <x:f>COUNTIFS('06 Business Gaps'!$B$6:$B$80,A15,'06 Business Gaps'!$F$6:$F$80,"P1")</x:f>
        <x:v>2</x:v>
      </x:c>
      <x:c r="E15" s="34" t="n">
        <x:f>COUNTIFS('06 Business Gaps'!$B$6:$B$80,A15,'06 Business Gaps'!$F$6:$F$80,"P2")</x:f>
        <x:v>0</x:v>
      </x:c>
      <x:c r="F15" s="34" t="n">
        <x:f>COUNTIFS('06 Business Gaps'!$B$6:$B$80,A15,'06 Business Gaps'!$G$6:$G$80,"MVP")</x:f>
        <x:v>5</x:v>
      </x:c>
      <x:c r="G15" s="34" t="n">
        <x:f>COUNTIFS('06 Business Gaps'!$B$6:$B$80,A15,'06 Business Gaps'!$J$6:$J$80,"Open")</x:f>
        <x:v>6</x:v>
      </x:c>
      <x:c r="H15" s="37" t="n">
        <x:f>IF(B15=0,0,1-G15/B15)</x:f>
        <x:v>0</x:v>
      </x:c>
    </x:row>
    <x:row r="16">
      <x:c r="A16" s="26" t="str">
        <x:v>Sender &amp; deliverability</x:v>
      </x:c>
      <x:c r="B16" s="34" t="n">
        <x:f>COUNTIF('06 Business Gaps'!$B$6:$B$80,A16)</x:f>
        <x:v>8</x:v>
      </x:c>
      <x:c r="C16" s="34" t="n">
        <x:f>COUNTIFS('06 Business Gaps'!$B$6:$B$80,A16,'06 Business Gaps'!$F$6:$F$80,"P0")</x:f>
        <x:v>6</x:v>
      </x:c>
      <x:c r="D16" s="34" t="n">
        <x:f>COUNTIFS('06 Business Gaps'!$B$6:$B$80,A16,'06 Business Gaps'!$F$6:$F$80,"P1")</x:f>
        <x:v>2</x:v>
      </x:c>
      <x:c r="E16" s="34" t="n">
        <x:f>COUNTIFS('06 Business Gaps'!$B$6:$B$80,A16,'06 Business Gaps'!$F$6:$F$80,"P2")</x:f>
        <x:v>0</x:v>
      </x:c>
      <x:c r="F16" s="34" t="n">
        <x:f>COUNTIFS('06 Business Gaps'!$B$6:$B$80,A16,'06 Business Gaps'!$G$6:$G$80,"MVP")</x:f>
        <x:v>7</x:v>
      </x:c>
      <x:c r="G16" s="34" t="n">
        <x:f>COUNTIFS('06 Business Gaps'!$B$6:$B$80,A16,'06 Business Gaps'!$J$6:$J$80,"Open")</x:f>
        <x:v>8</x:v>
      </x:c>
      <x:c r="H16" s="37" t="n">
        <x:f>IF(B16=0,0,1-G16/B16)</x:f>
        <x:v>0</x:v>
      </x:c>
    </x:row>
    <x:row r="17">
      <x:c r="A17" s="26" t="str">
        <x:v>Template/editor</x:v>
      </x:c>
      <x:c r="B17" s="34" t="n">
        <x:f>COUNTIF('06 Business Gaps'!$B$6:$B$80,A17)</x:f>
        <x:v>4</x:v>
      </x:c>
      <x:c r="C17" s="34" t="n">
        <x:f>COUNTIFS('06 Business Gaps'!$B$6:$B$80,A17,'06 Business Gaps'!$F$6:$F$80,"P0")</x:f>
        <x:v>1</x:v>
      </x:c>
      <x:c r="D17" s="34" t="n">
        <x:f>COUNTIFS('06 Business Gaps'!$B$6:$B$80,A17,'06 Business Gaps'!$F$6:$F$80,"P1")</x:f>
        <x:v>2</x:v>
      </x:c>
      <x:c r="E17" s="34" t="n">
        <x:f>COUNTIFS('06 Business Gaps'!$B$6:$B$80,A17,'06 Business Gaps'!$F$6:$F$80,"P2")</x:f>
        <x:v>1</x:v>
      </x:c>
      <x:c r="F17" s="34" t="n">
        <x:f>COUNTIFS('06 Business Gaps'!$B$6:$B$80,A17,'06 Business Gaps'!$G$6:$G$80,"MVP")</x:f>
        <x:v>3</x:v>
      </x:c>
      <x:c r="G17" s="34" t="n">
        <x:f>COUNTIFS('06 Business Gaps'!$B$6:$B$80,A17,'06 Business Gaps'!$J$6:$J$80,"Open")</x:f>
        <x:v>4</x:v>
      </x:c>
      <x:c r="H17" s="37" t="n">
        <x:f>IF(B17=0,0,1-G17/B17)</x:f>
        <x:v>0</x:v>
      </x:c>
    </x:row>
    <x:row r="18">
      <x:c r="A18" s="26" t="str">
        <x:v>UX resilience</x:v>
      </x:c>
      <x:c r="B18" s="34" t="n">
        <x:f>COUNTIF('06 Business Gaps'!$B$6:$B$80,A18)</x:f>
        <x:v>4</x:v>
      </x:c>
      <x:c r="C18" s="34" t="n">
        <x:f>COUNTIFS('06 Business Gaps'!$B$6:$B$80,A18,'06 Business Gaps'!$F$6:$F$80,"P0")</x:f>
        <x:v>1</x:v>
      </x:c>
      <x:c r="D18" s="34" t="n">
        <x:f>COUNTIFS('06 Business Gaps'!$B$6:$B$80,A18,'06 Business Gaps'!$F$6:$F$80,"P1")</x:f>
        <x:v>3</x:v>
      </x:c>
      <x:c r="E18" s="34" t="n">
        <x:f>COUNTIFS('06 Business Gaps'!$B$6:$B$80,A18,'06 Business Gaps'!$F$6:$F$80,"P2")</x:f>
        <x:v>0</x:v>
      </x:c>
      <x:c r="F18" s="34" t="n">
        <x:f>COUNTIFS('06 Business Gaps'!$B$6:$B$80,A18,'06 Business Gaps'!$G$6:$G$80,"MVP")</x:f>
        <x:v>4</x:v>
      </x:c>
      <x:c r="G18" s="34" t="n">
        <x:f>COUNTIFS('06 Business Gaps'!$B$6:$B$80,A18,'06 Business Gaps'!$J$6:$J$80,"Open")</x:f>
        <x:v>4</x:v>
      </x:c>
      <x:c r="H18" s="37" t="n">
        <x:f>IF(B18=0,0,1-G18/B18)</x:f>
        <x:v>0</x:v>
      </x:c>
    </x:row>
    <x:row r="19">
      <x:c r="A19" s="30" t="str">
        <x:v>TOTAL</x:v>
      </x:c>
      <x:c r="B19" s="35" t="n">
        <x:f>SUM(B5:B18)</x:f>
        <x:v>75</x:v>
      </x:c>
      <x:c r="C19" s="35" t="n">
        <x:f>SUM(C5:C18)</x:f>
        <x:v>35</x:v>
      </x:c>
      <x:c r="D19" s="35" t="n">
        <x:f>SUM(D5:D18)</x:f>
        <x:v>33</x:v>
      </x:c>
      <x:c r="E19" s="35" t="n">
        <x:f>SUM(E5:E18)</x:f>
        <x:v>7</x:v>
      </x:c>
      <x:c r="F19" s="35" t="n">
        <x:f>SUM(F5:F18)</x:f>
        <x:v>59</x:v>
      </x:c>
      <x:c r="G19" s="35" t="n">
        <x:f>SUM(G5:G18)</x:f>
        <x:v>75</x:v>
      </x:c>
      <x:c r="H19" s="38" t="n">
        <x:f>IF(B19=0,0,1-G19/B19)</x:f>
        <x:v>0</x:v>
      </x:c>
    </x:row>
    <x:row r="22" ht="42" customHeight="1">
      <x:c r="A22" s="44" t="str">
        <x:v>Baseline v1: 118 BA rules / 159 test cases. This supplement adds 20 ADRs, 20 realtime events, 16 notification rules and 75 reviewed business gaps.</x:v>
      </x:c>
      <x:c r="B22" s="45"/>
      <x:c r="C22" s="45"/>
      <x:c r="D22" s="45"/>
      <x:c r="E22" s="45"/>
      <x:c r="F22" s="45"/>
      <x:c r="G22" s="45"/>
      <x:c r="H22" s="46"/>
    </x:row>
  </x:sheetData>
  <x:mergeCells>
    <x:mergeCell ref="A1:H1"/>
    <x:mergeCell ref="A2:H2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3" hidden="0" customWidth="1"/>
    <x:col min="4" max="4" width="56" hidden="0" customWidth="1"/>
    <x:col min="5" max="5" width="50" hidden="0" customWidth="1"/>
    <x:col min="6" max="6" width="35" hidden="0" customWidth="1"/>
    <x:col min="7" max="7" width="18" hidden="0" customWidth="1"/>
  </x:cols>
  <x:sheetData>
    <x:row r="1" ht="34" customHeight="1">
      <x:c r="A1" s="3" t="str">
        <x:v>ARCHITECTURE DECISION RECORDS</x:v>
      </x:c>
      <x:c r="B1" s="3"/>
      <x:c r="C1" s="3"/>
      <x:c r="D1" s="3"/>
      <x:c r="E1" s="3"/>
      <x:c r="F1" s="3"/>
      <x:c r="G1" s="3"/>
    </x:row>
    <x:row r="2" ht="26" customHeight="1">
      <x:c r="A2" s="6" t="str">
        <x:v>20 decisions | Status and ownership remain editable</x:v>
      </x:c>
      <x:c r="B2" s="6"/>
      <x:c r="C2" s="6"/>
      <x:c r="D2" s="6"/>
      <x:c r="E2" s="6"/>
      <x:c r="F2" s="6"/>
      <x:c r="G2" s="6"/>
    </x:row>
    <x:row r="5" ht="30" customHeight="1">
      <x:c r="A5" s="15" t="str">
        <x:v>ADR ID</x:v>
      </x:c>
      <x:c r="B5" s="16" t="str">
        <x:v>Title</x:v>
      </x:c>
      <x:c r="C5" s="16" t="str">
        <x:v>Status</x:v>
      </x:c>
      <x:c r="D5" s="16" t="str">
        <x:v>Decision</x:v>
      </x:c>
      <x:c r="E5" s="16" t="str">
        <x:v>Rationale</x:v>
      </x:c>
      <x:c r="F5" s="16" t="str">
        <x:v>Alternatives</x:v>
      </x:c>
      <x:c r="G5" s="17" t="str">
        <x:v>Owner</x:v>
      </x:c>
    </x:row>
    <x:row r="6">
      <x:c r="A6" s="57" t="str">
        <x:v>ADR-001</x:v>
      </x:c>
      <x:c r="B6" s="54" t="str">
        <x:v>Modular monolith with separate runtime profiles</x:v>
      </x:c>
      <x:c r="C6" s="54" t="str">
        <x:v>Accepted</x:v>
      </x:c>
      <x:c r="D6" s="54" t="str">
        <x:v>Use one domain codebase deployed as API, worker and scheduler profiles.</x:v>
      </x:c>
      <x:c r="E6" s="54" t="str">
        <x:v>Faster domain consistency than microservices while isolating workloads; define module boundaries and outbox events so future extraction remains possible.</x:v>
      </x:c>
      <x:c r="F6" s="54" t="str">
        <x:v>A single process; microservices now</x:v>
      </x:c>
      <x:c r="G6" s="54" t="str">
        <x:v>Architect</x:v>
      </x:c>
    </x:row>
    <x:row r="7">
      <x:c r="A7" s="58" t="str">
        <x:v>ADR-002</x:v>
      </x:c>
      <x:c r="B7" s="55" t="str">
        <x:v>Frontend foundation</x:v>
      </x:c>
      <x:c r="C7" s="55" t="str">
        <x:v>Accepted</x:v>
      </x:c>
      <x:c r="D7" s="55" t="str">
        <x:v>Use Refine CORE headless on React/Vite and retain the existing design tokens/components.</x:v>
      </x:c>
      <x:c r="E7" s="55" t="str">
        <x:v>Fits a data-heavy internal workspace and provides auth/access/live/notification extension points without forcing AntD/MUI.</x:v>
      </x:c>
      <x:c r="F7" s="55" t="str">
        <x:v>Extensive React Boilerplate; raw Vite only</x:v>
      </x:c>
      <x:c r="G7" s="55" t="str">
        <x:v>Architect</x:v>
      </x:c>
    </x:row>
    <x:row r="8">
      <x:c r="A8" s="58" t="str">
        <x:v>ADR-003</x:v>
      </x:c>
      <x:c r="B8" s="55" t="str">
        <x:v>Backend seed</x:v>
      </x:c>
      <x:c r="C8" s="55" t="str">
        <x:v>Accepted with conditions</x:v>
      </x:c>
      <x:c r="D8" s="55" t="str">
        <x:v>Fork Brocoders NestJS boilerplate at an audited commit and remove unused modules.</x:v>
      </x:c>
      <x:c r="E8" s="55" t="str">
        <x:v>Relevant built-in auth/database/storage/mail/testing features reduce setup time.</x:v>
      </x:c>
      <x:c r="F8" s="55" t="str">
        <x:v>Official empty starter</x:v>
      </x:c>
      <x:c r="G8" s="55" t="str">
        <x:v>Architect</x:v>
      </x:c>
    </x:row>
    <x:row r="9">
      <x:c r="A9" s="58" t="str">
        <x:v>ADR-004</x:v>
      </x:c>
      <x:c r="B9" s="55" t="str">
        <x:v>Repository topology</x:v>
      </x:c>
      <x:c r="C9" s="55" t="str">
        <x:v>Accepted</x:v>
      </x:c>
      <x:c r="D9" s="55" t="str">
        <x:v>Use pnpm workspace with apps/web, apps/api, apps/worker and packages/ui/contracts/config.</x:v>
      </x:c>
      <x:c r="E9" s="55" t="str">
        <x:v>Atomic API contract changes and shared quality gates.</x:v>
      </x:c>
      <x:c r="F9" s="55" t="str">
        <x:v>Separate repositories</x:v>
      </x:c>
      <x:c r="G9" s="55" t="str">
        <x:v>Architect</x:v>
      </x:c>
    </x:row>
    <x:row r="10">
      <x:c r="A10" s="58" t="str">
        <x:v>ADR-005</x:v>
      </x:c>
      <x:c r="B10" s="55" t="str">
        <x:v>External API style</x:v>
      </x:c>
      <x:c r="C10" s="55" t="str">
        <x:v>Accepted</x:v>
      </x:c>
      <x:c r="D10" s="55" t="str">
        <x:v>REST JSON under /api/v1 with OpenAPI as source of truth and generated FE types.</x:v>
      </x:c>
      <x:c r="E10" s="55" t="str">
        <x:v>Most workflows are resource-oriented; easier operationally than GraphQL and compatible with selected foundations.</x:v>
      </x:c>
      <x:c r="F10" s="55" t="str">
        <x:v>GraphQL; shared handwritten DTOs</x:v>
      </x:c>
      <x:c r="G10" s="55" t="str">
        <x:v>Architect</x:v>
      </x:c>
    </x:row>
    <x:row r="11">
      <x:c r="A11" s="58" t="str">
        <x:v>ADR-006</x:v>
      </x:c>
      <x:c r="B11" s="55" t="str">
        <x:v>Browser authentication</x:v>
      </x:c>
      <x:c r="C11" s="55" t="str">
        <x:v>Accepted</x:v>
      </x:c>
      <x:c r="D11" s="55" t="str">
        <x:v>Short-lived access session and rotated refresh token in Secure HttpOnly SameSite cookies; server-side RBAC/tenant guards.</x:v>
      </x:c>
      <x:c r="E11" s="55" t="str">
        <x:v>Avoid exposing long-lived tokens to browser JavaScript.</x:v>
      </x:c>
      <x:c r="F11" s="55" t="str">
        <x:v>localStorage bearer tokens</x:v>
      </x:c>
      <x:c r="G11" s="55" t="str">
        <x:v>Architect</x:v>
      </x:c>
    </x:row>
    <x:row r="12">
      <x:c r="A12" s="58" t="str">
        <x:v>ADR-007</x:v>
      </x:c>
      <x:c r="B12" s="55" t="str">
        <x:v>Persistence</x:v>
      </x:c>
      <x:c r="C12" s="55" t="str">
        <x:v>Accepted</x:v>
      </x:c>
      <x:c r="D12" s="55" t="str">
        <x:v>PostgreSQL + TypeORM migrations; tenant_id on tenant data and invariant unique constraints.</x:v>
      </x:c>
      <x:c r="E12" s="55" t="str">
        <x:v>Relational integrity matters for dedupe, snapshots, progress reconciliation and audit.</x:v>
      </x:c>
      <x:c r="F12" s="55" t="str">
        <x:v>MongoDB; Prisma migration</x:v>
      </x:c>
      <x:c r="G12" s="55" t="str">
        <x:v>Architect</x:v>
      </x:c>
    </x:row>
    <x:row r="13">
      <x:c r="A13" s="58" t="str">
        <x:v>ADR-008</x:v>
      </x:c>
      <x:c r="B13" s="55" t="str">
        <x:v>Background processing</x:v>
      </x:c>
      <x:c r="C13" s="55" t="str">
        <x:v>Accepted</x:v>
      </x:c>
      <x:c r="D13" s="55" t="str">
        <x:v>BullMQ workers on Redis for send/import/export/bulk/reconciliation jobs.</x:v>
      </x:c>
      <x:c r="E13" s="55" t="str">
        <x:v>Retry/backoff, delayed jobs, concurrency and operational visibility are required.</x:v>
      </x:c>
      <x:c r="F13" s="55" t="str">
        <x:v>In-process timers; database polling only</x:v>
      </x:c>
      <x:c r="G13" s="55" t="str">
        <x:v>Architect</x:v>
      </x:c>
    </x:row>
    <x:row r="14">
      <x:c r="A14" s="58" t="str">
        <x:v>ADR-009</x:v>
      </x:c>
      <x:c r="B14" s="55" t="str">
        <x:v>Realtime transport</x:v>
      </x:c>
      <x:c r="C14" s="55" t="str">
        <x:v>Accepted</x:v>
      </x:c>
      <x:c r="D14" s="55" t="str">
        <x:v>Socket.IO through Nest gateway with Redis adapter; versioned server-originated events.</x:v>
      </x:c>
      <x:c r="E14" s="55" t="str">
        <x:v>The product needs rooms, reconnect and acknowledgements for notification and progress streams.</x:v>
      </x:c>
      <x:c r="F14" s="55" t="str">
        <x:v>SSE; native WebSocket; managed Ably</x:v>
      </x:c>
      <x:c r="G14" s="55" t="str">
        <x:v>Architect</x:v>
      </x:c>
    </x:row>
    <x:row r="15">
      <x:c r="A15" s="58" t="str">
        <x:v>ADR-010</x:v>
      </x:c>
      <x:c r="B15" s="55" t="str">
        <x:v>Realtime consistency</x:v>
      </x:c>
      <x:c r="C15" s="55" t="str">
        <x:v>Accepted</x:v>
      </x:c>
      <x:c r="D15" s="55" t="str">
        <x:v>Realtime is a hint, not source of truth; every event carries event_id/version and causes targeted cache update/refetch.</x:v>
      </x:c>
      <x:c r="E15" s="55" t="str">
        <x:v>Prevents stale UI after gaps, duplicate delivery or reconnect.</x:v>
      </x:c>
      <x:c r="F15" s="55" t="str">
        <x:v>Treat socket payload as authoritative state</x:v>
      </x:c>
      <x:c r="G15" s="55" t="str">
        <x:v>Architect</x:v>
      </x:c>
    </x:row>
    <x:row r="16">
      <x:c r="A16" s="58" t="str">
        <x:v>ADR-011</x:v>
      </x:c>
      <x:c r="B16" s="55" t="str">
        <x:v>Durable notification model</x:v>
      </x:c>
      <x:c r="C16" s="55" t="str">
        <x:v>Accepted</x:v>
      </x:c>
      <x:c r="D16" s="55" t="str">
        <x:v>Persist notification + per-user delivery/read state; use socket only for prompt delivery.</x:v>
      </x:c>
      <x:c r="E16" s="55" t="str">
        <x:v>Users must recover notification history after offline periods and across devices.</x:v>
      </x:c>
      <x:c r="F16" s="55" t="str">
        <x:v>Toast-only notifications</x:v>
      </x:c>
      <x:c r="G16" s="55" t="str">
        <x:v>Architect</x:v>
      </x:c>
    </x:row>
    <x:row r="17">
      <x:c r="A17" s="58" t="str">
        <x:v>ADR-012</x:v>
      </x:c>
      <x:c r="B17" s="55" t="str">
        <x:v>Domain event reliability</x:v>
      </x:c>
      <x:c r="C17" s="55" t="str">
        <x:v>Accepted</x:v>
      </x:c>
      <x:c r="D17" s="55" t="str">
        <x:v>Transactional outbox in PostgreSQL; dispatcher publishes queue/realtime work idempotently.</x:v>
      </x:c>
      <x:c r="E17" s="55" t="str">
        <x:v>DB mutation and event publication must not diverge.</x:v>
      </x:c>
      <x:c r="F17" s="55" t="str">
        <x:v>Direct publish inside request transaction</x:v>
      </x:c>
      <x:c r="G17" s="55" t="str">
        <x:v>Architect</x:v>
      </x:c>
    </x:row>
    <x:row r="18">
      <x:c r="A18" s="58" t="str">
        <x:v>ADR-013</x:v>
      </x:c>
      <x:c r="B18" s="55" t="str">
        <x:v>Campaign snapshot</x:v>
      </x:c>
      <x:c r="C18" s="55" t="str">
        <x:v>Accepted</x:v>
      </x:c>
      <x:c r="D18" s="55" t="str">
        <x:v>Freeze audience, template version, merge data, sender and policy result at send/schedule confirmation.</x:v>
      </x:c>
      <x:c r="E18" s="55" t="str">
        <x:v>Reproducible rendering, audit and protection from later data changes.</x:v>
      </x:c>
      <x:c r="F18" s="55" t="str">
        <x:v>Resolve live data at worker execution</x:v>
      </x:c>
      <x:c r="G18" s="55" t="str">
        <x:v>Architect</x:v>
      </x:c>
    </x:row>
    <x:row r="19">
      <x:c r="A19" s="58" t="str">
        <x:v>ADR-014</x:v>
      </x:c>
      <x:c r="B19" s="55" t="str">
        <x:v>Email provider integration</x:v>
      </x:c>
      <x:c r="C19" s="55" t="str">
        <x:v>Accepted</x:v>
      </x:c>
      <x:c r="D19" s="55" t="str">
        <x:v>Provider adapter plus canonical internal message/delivery states; verify signed webhooks and deduplicate events.</x:v>
      </x:c>
      <x:c r="E19" s="55" t="str">
        <x:v>Avoid provider lock-in and handle differing provider semantics.</x:v>
      </x:c>
      <x:c r="F19" s="55" t="str">
        <x:v>Provider-specific state in domain</x:v>
      </x:c>
      <x:c r="G19" s="55" t="str">
        <x:v>Architect</x:v>
      </x:c>
    </x:row>
    <x:row r="20">
      <x:c r="A20" s="58" t="str">
        <x:v>ADR-015</x:v>
      </x:c>
      <x:c r="B20" s="55" t="str">
        <x:v>Template rendering</x:v>
      </x:c>
      <x:c r="C20" s="55" t="str">
        <x:v>Accepted</x:v>
      </x:c>
      <x:c r="D20" s="55" t="str">
        <x:v>Handlebars strict/whitelisted merge, sanitized HTML, CSS inlining and deterministic text fallback.</x:v>
      </x:c>
      <x:c r="E20" s="55" t="str">
        <x:v>Matches variable syntax while limiting injection and non-determinism.</x:v>
      </x:c>
      <x:c r="F20" s="55" t="str">
        <x:v>Execute arbitrary template helpers</x:v>
      </x:c>
      <x:c r="G20" s="55" t="str">
        <x:v>Architect</x:v>
      </x:c>
    </x:row>
    <x:row r="21">
      <x:c r="A21" s="58" t="str">
        <x:v>ADR-016</x:v>
      </x:c>
      <x:c r="B21" s="55" t="str">
        <x:v>Progress aggregation</x:v>
      </x:c>
      <x:c r="C21" s="55" t="str">
        <x:v>Accepted</x:v>
      </x:c>
      <x:c r="D21" s="55" t="str">
        <x:v>Persist counters in PostgreSQL; workers emit throttled aggregate updates no faster than 1/s or 250 recipients.</x:v>
      </x:c>
      <x:c r="E21" s="55" t="str">
        <x:v>Avoid event storms and reconcile final counts from durable data.</x:v>
      </x:c>
      <x:c r="F21" s="55" t="str">
        <x:v>Per-recipient success event to every viewer</x:v>
      </x:c>
      <x:c r="G21" s="55" t="str">
        <x:v>Architect</x:v>
      </x:c>
    </x:row>
    <x:row r="22">
      <x:c r="A22" s="58" t="str">
        <x:v>ADR-017</x:v>
      </x:c>
      <x:c r="B22" s="55" t="str">
        <x:v>Observability</x:v>
      </x:c>
      <x:c r="C22" s="55" t="str">
        <x:v>Accepted</x:v>
      </x:c>
      <x:c r="D22" s="55" t="str">
        <x:v>Pino structured logs + OpenTelemetry traces/metrics; correlation IDs propagate through outbox and jobs.</x:v>
      </x:c>
      <x:c r="E22" s="55" t="str">
        <x:v>Required to explain duplicate, delay, retry and provider failures.</x:v>
      </x:c>
      <x:c r="F22" s="55" t="str">
        <x:v>Log-only diagnostics</x:v>
      </x:c>
      <x:c r="G22" s="55" t="str">
        <x:v>Architect</x:v>
      </x:c>
    </x:row>
    <x:row r="23">
      <x:c r="A23" s="58" t="str">
        <x:v>ADR-018</x:v>
      </x:c>
      <x:c r="B23" s="55" t="str">
        <x:v>Dependency/version policy</x:v>
      </x:c>
      <x:c r="C23" s="55" t="str">
        <x:v>Accepted</x:v>
      </x:c>
      <x:c r="D23" s="55" t="str">
        <x:v>Pin exact versions in lockfile; use current stable majors after a two-day compatibility spike; automate patch/minor PRs.</x:v>
      </x:c>
      <x:c r="E23" s="55" t="str">
        <x:v>The reviewed ecosystem is fast-moving and new major versions must not enter implicitly.</x:v>
      </x:c>
      <x:c r="F23" s="55" t="str">
        <x:v>Caret ranges without lock governance</x:v>
      </x:c>
      <x:c r="G23" s="55" t="str">
        <x:v>Architect</x:v>
      </x:c>
    </x:row>
    <x:row r="24">
      <x:c r="A24" s="58" t="str">
        <x:v>ADR-019</x:v>
      </x:c>
      <x:c r="B24" s="55" t="str">
        <x:v>Email visual editor</x:v>
      </x:c>
      <x:c r="C24" s="55" t="str">
        <x:v>Proposed</x:v>
      </x:c>
      <x:c r="D24" s="55" t="str">
        <x:v>Run a GrapesJS newsletter-output spike before committing; keep stored canonical HTML independent of editor JSON.</x:v>
      </x:c>
      <x:c r="E24" s="55" t="str">
        <x:v>Visual builders can lock data to proprietary schemas and produce inconsistent email HTML.</x:v>
      </x:c>
      <x:c r="F24" s="55" t="str">
        <x:v>Adopt immediately; developer-only templates</x:v>
      </x:c>
      <x:c r="G24" s="55" t="str">
        <x:v>Architect</x:v>
      </x:c>
    </x:row>
    <x:row r="25">
      <x:c r="A25" s="59" t="str">
        <x:v>ADR-020</x:v>
      </x:c>
      <x:c r="B25" s="56" t="str">
        <x:v>Notification service boundary</x:v>
      </x:c>
      <x:c r="C25" s="56" t="str">
        <x:v>Accepted</x:v>
      </x:c>
      <x:c r="D25" s="56" t="str">
        <x:v>Implement notification as a Nest domain module first; do not add Novu in MVP.</x:v>
      </x:c>
      <x:c r="E25" s="56" t="str">
        <x:v>Current need is in-app durable notifications; an external platform adds operations and synchronization cost.</x:v>
      </x:c>
      <x:c r="F25" s="56" t="str">
        <x:v>Novu now; no notification center</x:v>
      </x:c>
      <x:c r="G25" s="56" t="str">
        <x:v>Architect</x:v>
      </x:c>
    </x:row>
  </x:sheetData>
  <x:mergeCells>
    <x:mergeCell ref="A1:G1"/>
    <x:mergeCell ref="A2:G2"/>
  </x:mergeCells>
  <x:dataValidations count="1">
    <x:dataValidation type="list" sqref="C6:C25">
      <x:formula1>"Proposed,Accepted,Accepted with conditions,Superseded,Rejected"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58" hidden="0" customWidth="1"/>
    <x:col min="8" max="8" width="58" hidden="0" customWidth="1"/>
    <x:col min="9" max="9" width="14" hidden="0" customWidth="1"/>
  </x:cols>
  <x:sheetData>
    <x:row r="1" ht="34" customHeight="1">
      <x:c r="A1" s="3" t="str">
        <x:v>BOILERPLATE DECISION MATRIX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6" t="str">
        <x:v>Stars are approximate GitHub adoption snapshots on 2026-08-10; fit, maintenance, license and lock-in also apply</x:v>
      </x:c>
      <x:c r="B2" s="6"/>
      <x:c r="C2" s="6"/>
      <x:c r="D2" s="6"/>
      <x:c r="E2" s="6"/>
      <x:c r="F2" s="6"/>
      <x:c r="G2" s="6"/>
      <x:c r="H2" s="6"/>
      <x:c r="I2" s="6"/>
    </x:row>
    <x:row r="5" ht="30" customHeight="1">
      <x:c r="A5" s="15" t="str">
        <x:v>Candidate</x:v>
      </x:c>
      <x:c r="B5" s="16" t="str">
        <x:v>Repository</x:v>
      </x:c>
      <x:c r="C5" s="16" t="str">
        <x:v>Stars</x:v>
      </x:c>
      <x:c r="D5" s="16" t="str">
        <x:v>License</x:v>
      </x:c>
      <x:c r="E5" s="16" t="str">
        <x:v>Fit</x:v>
      </x:c>
      <x:c r="F5" s="16" t="str">
        <x:v>Decision</x:v>
      </x:c>
      <x:c r="G5" s="16" t="str">
        <x:v>Reason</x:v>
      </x:c>
      <x:c r="H5" s="16" t="str">
        <x:v>Caveat</x:v>
      </x:c>
      <x:c r="I5" s="17" t="str">
        <x:v>Source ID</x:v>
      </x:c>
    </x:row>
    <x:row r="6">
      <x:c r="A6" s="54" t="str">
        <x:v>Refine CORE + Vite (selected FE foundation)</x:v>
      </x:c>
      <x:c r="B6" s="54" t="str">
        <x:v>refinedev/refine</x:v>
      </x:c>
      <x:c r="C6" s="54" t="str">
        <x:v>~35.5k</x:v>
      </x:c>
      <x:c r="D6" s="54" t="str">
        <x:v>MIT</x:v>
      </x:c>
      <x:c r="E6" s="54" t="str">
        <x:v>High</x:v>
      </x:c>
      <x:c r="F6" s="63" t="str">
        <x:v>Selected</x:v>
      </x:c>
      <x:c r="G6" s="54" t="str">
        <x:v>Headless, CRUD/data-heavy focus, auth/access/realtime/notification provider contracts, preserves the custom Email Operations Workspace design.</x:v>
      </x:c>
      <x:c r="H6" s="54" t="str">
        <x:v>It is a meta-framework, so the team still owns the design-system components and the Socket.IO LiveProvider adapter.</x:v>
      </x:c>
      <x:c r="I6" s="54" t="str">
        <x:v>SRC-001</x:v>
      </x:c>
    </x:row>
    <x:row r="7">
      <x:c r="A7" s="55" t="str">
        <x:v>Brocoders NestJS boilerplate (selected BE seed)</x:v>
      </x:c>
      <x:c r="B7" s="55" t="str">
        <x:v>brocoders/nestjs-boilerplate</x:v>
      </x:c>
      <x:c r="C7" s="55" t="str">
        <x:v>~4.4k</x:v>
      </x:c>
      <x:c r="D7" s="55" t="str">
        <x:v>MIT</x:v>
      </x:c>
      <x:c r="E7" s="55" t="str">
        <x:v>High</x:v>
      </x:c>
      <x:c r="F7" s="64" t="str">
        <x:v>Selected with hardening</x:v>
      </x:c>
      <x:c r="G7" s="55" t="str">
        <x:v>Includes auth/session foundation, roles, PostgreSQL/TypeORM, mail, S3/local files, Swagger, Docker, unit/E2E tests and CI.</x:v>
      </x:c>
      <x:c r="H7" s="55" t="str">
        <x:v>Fork at a reviewed commit; remove social auth and unused modules; change browser auth to secure cookie strategy; add tenant enforcement, outbox, jobs and realtime.</x:v>
      </x:c>
      <x:c r="I7" s="55" t="str">
        <x:v>SRC-005</x:v>
      </x:c>
    </x:row>
    <x:row r="8">
      <x:c r="A8" s="55" t="str">
        <x:v>Bulletproof React</x:v>
      </x:c>
      <x:c r="B8" s="55" t="str">
        <x:v>alan2207/bulletproof-react</x:v>
      </x:c>
      <x:c r="C8" s="55" t="str">
        <x:v>~35.7k</x:v>
      </x:c>
      <x:c r="D8" s="55" t="str">
        <x:v>MIT</x:v>
      </x:c>
      <x:c r="E8" s="55" t="str">
        <x:v>Medium</x:v>
      </x:c>
      <x:c r="F8" s="64" t="str">
        <x:v>Reference only</x:v>
      </x:c>
      <x:c r="G8" s="55" t="str">
        <x:v>Excellent feature-folder, API, testing, security and error-handling conventions.</x:v>
      </x:c>
      <x:c r="H8" s="55" t="str">
        <x:v>Its README explicitly says it is not a template/boilerplate/framework, so copying the repository as product source would contradict upstream guidance.</x:v>
      </x:c>
      <x:c r="I8" s="55" t="str">
        <x:v>SRC-004</x:v>
      </x:c>
    </x:row>
    <x:row r="9">
      <x:c r="A9" s="55" t="str">
        <x:v>Extensive React Boilerplate</x:v>
      </x:c>
      <x:c r="B9" s="55" t="str">
        <x:v>brocoders/extensive-react-boilerplate</x:v>
      </x:c>
      <x:c r="C9" s="55" t="str">
        <x:v>~0.5k</x:v>
      </x:c>
      <x:c r="D9" s="55" t="str">
        <x:v>MIT</x:v>
      </x:c>
      <x:c r="E9" s="55" t="str">
        <x:v>Medium</x:v>
      </x:c>
      <x:c r="F9" s="64" t="str">
        <x:v>Not selected</x:v>
      </x:c>
      <x:c r="G9" s="55" t="str">
        <x:v>Explicitly compatible with the selected backend and already includes auth/user flows.</x:v>
      </x:c>
      <x:c r="H9" s="55" t="str">
        <x:v>Next.js/MUI is more opinionated than the current Vite/custom design system and adoption is materially lower than Refine.</x:v>
      </x:c>
      <x:c r="I9" s="55" t="str">
        <x:v>SRC-007</x:v>
      </x:c>
    </x:row>
    <x:row r="10">
      <x:c r="A10" s="56" t="str">
        <x:v>NestJS official TypeScript starter</x:v>
      </x:c>
      <x:c r="B10" s="56" t="str">
        <x:v>nestjs/typescript-starter</x:v>
      </x:c>
      <x:c r="C10" s="56" t="str">
        <x:v>Public template</x:v>
      </x:c>
      <x:c r="D10" s="56" t="str">
        <x:v>MIT</x:v>
      </x:c>
      <x:c r="E10" s="56" t="str">
        <x:v>Medium</x:v>
      </x:c>
      <x:c r="F10" s="65" t="str">
        <x:v>Fallback</x:v>
      </x:c>
      <x:c r="G10" s="56" t="str">
        <x:v>Smallest official baseline and lowest upstream coupling.</x:v>
      </x:c>
      <x:c r="H10" s="56" t="str">
        <x:v>Auth, roles, database, storage, mail, Docker and application tests must be built from scratch.</x:v>
      </x:c>
      <x:c r="I10" s="56" t="str">
        <x:v>SRC-006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0" hidden="0" customWidth="1"/>
    <x:col min="4" max="4" width="28" hidden="0" customWidth="1"/>
    <x:col min="5" max="5" width="65" hidden="0" customWidth="1"/>
    <x:col min="6" max="6" width="24" hidden="0" customWidth="1"/>
    <x:col min="7" max="7" width="24" hidden="0" customWidth="1"/>
  </x:cols>
  <x:sheetData>
    <x:row r="1" ht="34" customHeight="1">
      <x:c r="A1" s="3" t="str">
        <x:v>LIBRARY BASELINE</x:v>
      </x:c>
      <x:c r="B1" s="3"/>
      <x:c r="C1" s="3"/>
      <x:c r="D1" s="3"/>
      <x:c r="E1" s="3"/>
      <x:c r="F1" s="3"/>
      <x:c r="G1" s="3"/>
    </x:row>
    <x:row r="2" ht="26" customHeight="1">
      <x:c r="A2" s="6" t="str">
        <x:v>Selections precede feature implementation; exact versions are pinned after compatibility/security spike</x:v>
      </x:c>
      <x:c r="B2" s="6"/>
      <x:c r="C2" s="6"/>
      <x:c r="D2" s="6"/>
      <x:c r="E2" s="6"/>
      <x:c r="F2" s="6"/>
      <x:c r="G2" s="6"/>
    </x:row>
    <x:row r="5" ht="30" customHeight="1">
      <x:c r="A5" s="15" t="str">
        <x:v>ID</x:v>
      </x:c>
      <x:c r="B5" s="16" t="str">
        <x:v>Concern</x:v>
      </x:c>
      <x:c r="C5" s="16" t="str">
        <x:v>Selection</x:v>
      </x:c>
      <x:c r="D5" s="16" t="str">
        <x:v>Status</x:v>
      </x:c>
      <x:c r="E5" s="16" t="str">
        <x:v>Rationale/guardrail</x:v>
      </x:c>
      <x:c r="F5" s="16" t="str">
        <x:v>Location</x:v>
      </x:c>
      <x:c r="G5" s="17" t="str">
        <x:v>Review gate</x:v>
      </x:c>
    </x:row>
    <x:row r="6">
      <x:c r="A6" s="57" t="str">
        <x:v>FE-001</x:v>
      </x:c>
      <x:c r="B6" s="54" t="str">
        <x:v>Application core</x:v>
      </x:c>
      <x:c r="C6" s="54" t="str">
        <x:v>React 19 + TypeScript strict + Vite</x:v>
      </x:c>
      <x:c r="D6" s="54" t="str">
        <x:v>Selected</x:v>
      </x:c>
      <x:c r="E6" s="54" t="str">
        <x:v>Keep the current web stack and fast local build; exact versions locked after compatibility spike.</x:v>
      </x:c>
      <x:c r="F6" s="54" t="str">
        <x:v>apps/web</x:v>
      </x:c>
      <x:c r="G6" s="54" t="str">
        <x:v>Lockfile + SCA</x:v>
      </x:c>
    </x:row>
    <x:row r="7">
      <x:c r="A7" s="58" t="str">
        <x:v>FE-002</x:v>
      </x:c>
      <x:c r="B7" s="55" t="str">
        <x:v>Enterprise data framework</x:v>
      </x:c>
      <x:c r="C7" s="55" t="str">
        <x:v>@refinedev/core v5</x:v>
      </x:c>
      <x:c r="D7" s="55" t="str">
        <x:v>Selected</x:v>
      </x:c>
      <x:c r="E7" s="55" t="str">
        <x:v>Headless resources, auth, access control, notification and live-provider contracts.</x:v>
      </x:c>
      <x:c r="F7" s="55" t="str">
        <x:v>apps/web</x:v>
      </x:c>
      <x:c r="G7" s="55" t="str">
        <x:v>Lockfile + SCA</x:v>
      </x:c>
    </x:row>
    <x:row r="8">
      <x:c r="A8" s="58" t="str">
        <x:v>FE-003</x:v>
      </x:c>
      <x:c r="B8" s="55" t="str">
        <x:v>Routing</x:v>
      </x:c>
      <x:c r="C8" s="55" t="str">
        <x:v>React Router</x:v>
      </x:c>
      <x:c r="D8" s="55" t="str">
        <x:v>Selected</x:v>
      </x:c>
      <x:c r="E8" s="55" t="str">
        <x:v>Browser routes, protected layouts and deep links from notifications.</x:v>
      </x:c>
      <x:c r="F8" s="55" t="str">
        <x:v>apps/web</x:v>
      </x:c>
      <x:c r="G8" s="55" t="str">
        <x:v>Lockfile + SCA</x:v>
      </x:c>
    </x:row>
    <x:row r="9">
      <x:c r="A9" s="58" t="str">
        <x:v>FE-004</x:v>
      </x:c>
      <x:c r="B9" s="55" t="str">
        <x:v>Server state</x:v>
      </x:c>
      <x:c r="C9" s="55" t="str">
        <x:v>TanStack Query v5 via Refine</x:v>
      </x:c>
      <x:c r="D9" s="55" t="str">
        <x:v>Selected</x:v>
      </x:c>
      <x:c r="E9" s="55" t="str">
        <x:v>Caching, mutation, invalidation and background refetch; do not add a second query client.</x:v>
      </x:c>
      <x:c r="F9" s="55" t="str">
        <x:v>apps/web</x:v>
      </x:c>
      <x:c r="G9" s="55" t="str">
        <x:v>Lockfile + SCA</x:v>
      </x:c>
    </x:row>
    <x:row r="10">
      <x:c r="A10" s="58" t="str">
        <x:v>FE-005</x:v>
      </x:c>
      <x:c r="B10" s="55" t="str">
        <x:v>Forms</x:v>
      </x:c>
      <x:c r="C10" s="55" t="str">
        <x:v>React Hook Form v7</x:v>
      </x:c>
      <x:c r="D10" s="55" t="str">
        <x:v>Selected</x:v>
      </x:c>
      <x:c r="E10" s="55" t="str">
        <x:v>Large recipient/template/schedule forms with controlled rerenders.</x:v>
      </x:c>
      <x:c r="F10" s="55" t="str">
        <x:v>apps/web</x:v>
      </x:c>
      <x:c r="G10" s="55" t="str">
        <x:v>Lockfile + SCA</x:v>
      </x:c>
    </x:row>
    <x:row r="11">
      <x:c r="A11" s="58" t="str">
        <x:v>FE-006</x:v>
      </x:c>
      <x:c r="B11" s="55" t="str">
        <x:v>Validation</x:v>
      </x:c>
      <x:c r="C11" s="55" t="str">
        <x:v>Zod</x:v>
      </x:c>
      <x:c r="D11" s="55" t="str">
        <x:v>Selected</x:v>
      </x:c>
      <x:c r="E11" s="55" t="str">
        <x:v>Client-side UX validation and event-envelope parsing; backend remains authoritative.</x:v>
      </x:c>
      <x:c r="F11" s="55" t="str">
        <x:v>apps/web + contracts</x:v>
      </x:c>
      <x:c r="G11" s="55" t="str">
        <x:v>Lockfile + SCA</x:v>
      </x:c>
    </x:row>
    <x:row r="12">
      <x:c r="A12" s="58" t="str">
        <x:v>FE-007</x:v>
      </x:c>
      <x:c r="B12" s="55" t="str">
        <x:v>Accessible primitives</x:v>
      </x:c>
      <x:c r="C12" s="55" t="str">
        <x:v>Radix UI Primitives</x:v>
      </x:c>
      <x:c r="D12" s="55" t="str">
        <x:v>Selected</x:v>
      </x:c>
      <x:c r="E12" s="55" t="str">
        <x:v>Dialog, popover, select, tooltip, tabs and focus management without imposing visual styling.</x:v>
      </x:c>
      <x:c r="F12" s="55" t="str">
        <x:v>packages/ui</x:v>
      </x:c>
      <x:c r="G12" s="55" t="str">
        <x:v>Lockfile + SCA</x:v>
      </x:c>
    </x:row>
    <x:row r="13">
      <x:c r="A13" s="58" t="str">
        <x:v>FE-008</x:v>
      </x:c>
      <x:c r="B13" s="55" t="str">
        <x:v>Tables</x:v>
      </x:c>
      <x:c r="C13" s="55" t="str">
        <x:v>TanStack Table</x:v>
      </x:c>
      <x:c r="D13" s="55" t="str">
        <x:v>Selected</x:v>
      </x:c>
      <x:c r="E13" s="55" t="str">
        <x:v>Server-side pagination/sort/filter and row selection for recipient/history modules.</x:v>
      </x:c>
      <x:c r="F13" s="55" t="str">
        <x:v>apps/web</x:v>
      </x:c>
      <x:c r="G13" s="55" t="str">
        <x:v>Lockfile + SCA</x:v>
      </x:c>
    </x:row>
    <x:row r="14">
      <x:c r="A14" s="58" t="str">
        <x:v>FE-009</x:v>
      </x:c>
      <x:c r="B14" s="55" t="str">
        <x:v>Realtime client</x:v>
      </x:c>
      <x:c r="C14" s="55" t="str">
        <x:v>socket.io-client 4.x</x:v>
      </x:c>
      <x:c r="D14" s="55" t="str">
        <x:v>Selected</x:v>
      </x:c>
      <x:c r="E14" s="55" t="str">
        <x:v>Reconnect, rooms and event acknowledgements compatible with NestJS gateway.</x:v>
      </x:c>
      <x:c r="F14" s="55" t="str">
        <x:v>apps/web</x:v>
      </x:c>
      <x:c r="G14" s="55" t="str">
        <x:v>Lockfile + SCA</x:v>
      </x:c>
    </x:row>
    <x:row r="15">
      <x:c r="A15" s="58" t="str">
        <x:v>FE-010</x:v>
      </x:c>
      <x:c r="B15" s="55" t="str">
        <x:v>Toast feedback</x:v>
      </x:c>
      <x:c r="C15" s="55" t="str">
        <x:v>Custom Refine NotificationProvider + Radix Toast</x:v>
      </x:c>
      <x:c r="D15" s="55" t="str">
        <x:v>Selected</x:v>
      </x:c>
      <x:c r="E15" s="55" t="str">
        <x:v>Transient mutation feedback is separate from durable notification center.</x:v>
      </x:c>
      <x:c r="F15" s="55" t="str">
        <x:v>packages/ui</x:v>
      </x:c>
      <x:c r="G15" s="55" t="str">
        <x:v>Lockfile + SCA</x:v>
      </x:c>
    </x:row>
    <x:row r="16">
      <x:c r="A16" s="58" t="str">
        <x:v>FE-011</x:v>
      </x:c>
      <x:c r="B16" s="55" t="str">
        <x:v>Dates/timezone</x:v>
      </x:c>
      <x:c r="C16" s="55" t="str">
        <x:v>date-fns + date-fns-tz</x:v>
      </x:c>
      <x:c r="D16" s="55" t="str">
        <x:v>Selected</x:v>
      </x:c>
      <x:c r="E16" s="55" t="str">
        <x:v>IANA timezone display and schedule validation.</x:v>
      </x:c>
      <x:c r="F16" s="55" t="str">
        <x:v>apps/web</x:v>
      </x:c>
      <x:c r="G16" s="55" t="str">
        <x:v>Lockfile + SCA</x:v>
      </x:c>
    </x:row>
    <x:row r="17">
      <x:c r="A17" s="58" t="str">
        <x:v>FE-012</x:v>
      </x:c>
      <x:c r="B17" s="55" t="str">
        <x:v>I18n</x:v>
      </x:c>
      <x:c r="C17" s="55" t="str">
        <x:v>i18next + react-i18next</x:v>
      </x:c>
      <x:c r="D17" s="55" t="str">
        <x:v>Selected</x:v>
      </x:c>
      <x:c r="E17" s="55" t="str">
        <x:v>Vietnamese-first with stable message keys and future locale support.</x:v>
      </x:c>
      <x:c r="F17" s="55" t="str">
        <x:v>apps/web</x:v>
      </x:c>
      <x:c r="G17" s="55" t="str">
        <x:v>Lockfile + SCA</x:v>
      </x:c>
    </x:row>
    <x:row r="18">
      <x:c r="A18" s="58" t="str">
        <x:v>FE-013</x:v>
      </x:c>
      <x:c r="B18" s="55" t="str">
        <x:v>Email visual editor</x:v>
      </x:c>
      <x:c r="C18" s="55" t="str">
        <x:v>GrapesJS + newsletter preset</x:v>
      </x:c>
      <x:c r="D18" s="55" t="str">
        <x:v>Spike required</x:v>
      </x:c>
      <x:c r="E18" s="55" t="str">
        <x:v>Likely fit for drag/drop email content; must pass output, accessibility and sanitization spike before commitment.</x:v>
      </x:c>
      <x:c r="F18" s="55" t="str">
        <x:v>apps/web</x:v>
      </x:c>
      <x:c r="G18" s="55" t="str">
        <x:v>Architecture review</x:v>
      </x:c>
    </x:row>
    <x:row r="19">
      <x:c r="A19" s="58" t="str">
        <x:v>FE-014</x:v>
      </x:c>
      <x:c r="B19" s="55" t="str">
        <x:v>Unit/component test</x:v>
      </x:c>
      <x:c r="C19" s="55" t="str">
        <x:v>Vitest + Testing Library + MSW</x:v>
      </x:c>
      <x:c r="D19" s="55" t="str">
        <x:v>Selected</x:v>
      </x:c>
      <x:c r="E19" s="55" t="str">
        <x:v>Fast component/hook testing with deterministic REST mocks.</x:v>
      </x:c>
      <x:c r="F19" s="55" t="str">
        <x:v>apps/web</x:v>
      </x:c>
      <x:c r="G19" s="55" t="str">
        <x:v>Lockfile + SCA</x:v>
      </x:c>
    </x:row>
    <x:row r="20">
      <x:c r="A20" s="58" t="str">
        <x:v>FE-015</x:v>
      </x:c>
      <x:c r="B20" s="55" t="str">
        <x:v>E2E</x:v>
      </x:c>
      <x:c r="C20" s="55" t="str">
        <x:v>Playwright</x:v>
      </x:c>
      <x:c r="D20" s="55" t="str">
        <x:v>Selected</x:v>
      </x:c>
      <x:c r="E20" s="55" t="str">
        <x:v>Cross-browser core flows, scheduling, reconnect and notification tests.</x:v>
      </x:c>
      <x:c r="F20" s="55" t="str">
        <x:v>workspace</x:v>
      </x:c>
      <x:c r="G20" s="55" t="str">
        <x:v>Lockfile + SCA</x:v>
      </x:c>
    </x:row>
    <x:row r="21">
      <x:c r="A21" s="58" t="str">
        <x:v>BE-001</x:v>
      </x:c>
      <x:c r="B21" s="55" t="str">
        <x:v>API framework</x:v>
      </x:c>
      <x:c r="C21" s="55" t="str">
        <x:v>NestJS 11</x:v>
      </x:c>
      <x:c r="D21" s="55" t="str">
        <x:v>Selected</x:v>
      </x:c>
      <x:c r="E21" s="55" t="str">
        <x:v>Modular, testable TypeScript backend with official OpenAPI/WebSocket/queue integrations.</x:v>
      </x:c>
      <x:c r="F21" s="55" t="str">
        <x:v>apps/api + apps/worker</x:v>
      </x:c>
      <x:c r="G21" s="55" t="str">
        <x:v>Lockfile + SCA</x:v>
      </x:c>
    </x:row>
    <x:row r="22">
      <x:c r="A22" s="58" t="str">
        <x:v>BE-002</x:v>
      </x:c>
      <x:c r="B22" s="55" t="str">
        <x:v>HTTP adapter</x:v>
      </x:c>
      <x:c r="C22" s="55" t="str">
        <x:v>Fastify adapter</x:v>
      </x:c>
      <x:c r="D22" s="55" t="str">
        <x:v>Selected</x:v>
      </x:c>
      <x:c r="E22" s="55" t="str">
        <x:v>Lower overhead; verify middleware compatibility from boilerplate during spike.</x:v>
      </x:c>
      <x:c r="F22" s="55" t="str">
        <x:v>apps/api</x:v>
      </x:c>
      <x:c r="G22" s="55" t="str">
        <x:v>Lockfile + SCA</x:v>
      </x:c>
    </x:row>
    <x:row r="23">
      <x:c r="A23" s="58" t="str">
        <x:v>BE-003</x:v>
      </x:c>
      <x:c r="B23" s="55" t="str">
        <x:v>Database</x:v>
      </x:c>
      <x:c r="C23" s="55" t="str">
        <x:v>PostgreSQL</x:v>
      </x:c>
      <x:c r="D23" s="55" t="str">
        <x:v>Selected</x:v>
      </x:c>
      <x:c r="E23" s="55" t="str">
        <x:v>Strong relational constraints, JSONB custom data, indexes and transactional outbox.</x:v>
      </x:c>
      <x:c r="F23" s="55" t="str">
        <x:v>platform</x:v>
      </x:c>
      <x:c r="G23" s="55" t="str">
        <x:v>Lockfile + SCA</x:v>
      </x:c>
    </x:row>
    <x:row r="24">
      <x:c r="A24" s="58" t="str">
        <x:v>BE-004</x:v>
      </x:c>
      <x:c r="B24" s="55" t="str">
        <x:v>ORM/migrations</x:v>
      </x:c>
      <x:c r="C24" s="55" t="str">
        <x:v>TypeORM 0.3 line</x:v>
      </x:c>
      <x:c r="D24" s="55" t="str">
        <x:v>Selected</x:v>
      </x:c>
      <x:c r="E24" s="55" t="str">
        <x:v>Matches chosen boilerplate; migrations mandatory, synchronize=false outside local scratch.</x:v>
      </x:c>
      <x:c r="F24" s="55" t="str">
        <x:v>apps/api + worker</x:v>
      </x:c>
      <x:c r="G24" s="55" t="str">
        <x:v>Lockfile + SCA</x:v>
      </x:c>
    </x:row>
    <x:row r="25">
      <x:c r="A25" s="58" t="str">
        <x:v>BE-005</x:v>
      </x:c>
      <x:c r="B25" s="55" t="str">
        <x:v>Validation</x:v>
      </x:c>
      <x:c r="C25" s="55" t="str">
        <x:v>class-validator + class-transformer</x:v>
      </x:c>
      <x:c r="D25" s="55" t="str">
        <x:v>Selected</x:v>
      </x:c>
      <x:c r="E25" s="55" t="str">
        <x:v>Matches NestJS boilerplate DTO conventions; OpenAPI is the cross-boundary contract.</x:v>
      </x:c>
      <x:c r="F25" s="55" t="str">
        <x:v>apps/api</x:v>
      </x:c>
      <x:c r="G25" s="55" t="str">
        <x:v>Lockfile + SCA</x:v>
      </x:c>
    </x:row>
    <x:row r="26">
      <x:c r="A26" s="58" t="str">
        <x:v>BE-006</x:v>
      </x:c>
      <x:c r="B26" s="55" t="str">
        <x:v>API contract</x:v>
      </x:c>
      <x:c r="C26" s="55" t="str">
        <x:v>@nestjs/swagger + openapi-typescript</x:v>
      </x:c>
      <x:c r="D26" s="55" t="str">
        <x:v>Selected</x:v>
      </x:c>
      <x:c r="E26" s="55" t="str">
        <x:v>Generate typed FE contract in CI; breaking-change check required.</x:v>
      </x:c>
      <x:c r="F26" s="55" t="str">
        <x:v>packages/contracts</x:v>
      </x:c>
      <x:c r="G26" s="55" t="str">
        <x:v>Lockfile + SCA</x:v>
      </x:c>
    </x:row>
    <x:row r="27">
      <x:c r="A27" s="58" t="str">
        <x:v>BE-007</x:v>
      </x:c>
      <x:c r="B27" s="55" t="str">
        <x:v>Jobs</x:v>
      </x:c>
      <x:c r="C27" s="55" t="str">
        <x:v>BullMQ + @nestjs/bullmq</x:v>
      </x:c>
      <x:c r="D27" s="55" t="str">
        <x:v>Selected</x:v>
      </x:c>
      <x:c r="E27" s="55" t="str">
        <x:v>Send, import, export, bulk custom data and reconciliation jobs.</x:v>
      </x:c>
      <x:c r="F27" s="55" t="str">
        <x:v>apps/worker</x:v>
      </x:c>
      <x:c r="G27" s="55" t="str">
        <x:v>Lockfile + SCA</x:v>
      </x:c>
    </x:row>
    <x:row r="28">
      <x:c r="A28" s="58" t="str">
        <x:v>BE-008</x:v>
      </x:c>
      <x:c r="B28" s="55" t="str">
        <x:v>Queue/cache</x:v>
      </x:c>
      <x:c r="C28" s="55" t="str">
        <x:v>Redis</x:v>
      </x:c>
      <x:c r="D28" s="55" t="str">
        <x:v>Selected</x:v>
      </x:c>
      <x:c r="E28" s="55" t="str">
        <x:v>BullMQ, rate limit, short-lived locks and Socket.IO fanout; never source of truth for campaign counts.</x:v>
      </x:c>
      <x:c r="F28" s="55" t="str">
        <x:v>platform</x:v>
      </x:c>
      <x:c r="G28" s="55" t="str">
        <x:v>Lockfile + SCA</x:v>
      </x:c>
    </x:row>
    <x:row r="29">
      <x:c r="A29" s="58" t="str">
        <x:v>BE-009</x:v>
      </x:c>
      <x:c r="B29" s="55" t="str">
        <x:v>Realtime server</x:v>
      </x:c>
      <x:c r="C29" s="55" t="str">
        <x:v>Socket.IO 4.x + Nest gateway + Redis adapter</x:v>
      </x:c>
      <x:c r="D29" s="55" t="str">
        <x:v>Selected</x:v>
      </x:c>
      <x:c r="E29" s="55" t="str">
        <x:v>Per-user/org rooms, reconnect, acknowledgements and horizontal scaling.</x:v>
      </x:c>
      <x:c r="F29" s="55" t="str">
        <x:v>apps/api</x:v>
      </x:c>
      <x:c r="G29" s="55" t="str">
        <x:v>Lockfile + SCA</x:v>
      </x:c>
    </x:row>
    <x:row r="30">
      <x:c r="A30" s="58" t="str">
        <x:v>BE-010</x:v>
      </x:c>
      <x:c r="B30" s="55" t="str">
        <x:v>Template merge</x:v>
      </x:c>
      <x:c r="C30" s="55" t="str">
        <x:v>Handlebars strict mode</x:v>
      </x:c>
      <x:c r="D30" s="55" t="str">
        <x:v>Selected with restrictions</x:v>
      </x:c>
      <x:c r="E30" s="55" t="str">
        <x:v>Existing {{variable}} syntax; disable arbitrary helpers and prototype access.</x:v>
      </x:c>
      <x:c r="F30" s="55" t="str">
        <x:v>apps/worker</x:v>
      </x:c>
      <x:c r="G30" s="55" t="str">
        <x:v>Lockfile + SCA</x:v>
      </x:c>
    </x:row>
    <x:row r="31">
      <x:c r="A31" s="58" t="str">
        <x:v>BE-011</x:v>
      </x:c>
      <x:c r="B31" s="55" t="str">
        <x:v>Email HTML</x:v>
      </x:c>
      <x:c r="C31" s="55" t="str">
        <x:v>sanitize-html + juice + html-to-text</x:v>
      </x:c>
      <x:c r="D31" s="55" t="str">
        <x:v>Selected</x:v>
      </x:c>
      <x:c r="E31" s="55" t="str">
        <x:v>Sanitize, inline CSS and produce text alternative before provider submission.</x:v>
      </x:c>
      <x:c r="F31" s="55" t="str">
        <x:v>apps/worker</x:v>
      </x:c>
      <x:c r="G31" s="55" t="str">
        <x:v>Lockfile + SCA</x:v>
      </x:c>
    </x:row>
    <x:row r="32">
      <x:c r="A32" s="58" t="str">
        <x:v>BE-012</x:v>
      </x:c>
      <x:c r="B32" s="55" t="str">
        <x:v>Mail transport</x:v>
      </x:c>
      <x:c r="C32" s="55" t="str">
        <x:v>Provider adapter; Nodemailer for SMTP</x:v>
      </x:c>
      <x:c r="D32" s="55" t="str">
        <x:v>Selected</x:v>
      </x:c>
      <x:c r="E32" s="55" t="str">
        <x:v>Adapter boundary supports SMTP/SES/SendGrid without leaking provider details into campaign domain.</x:v>
      </x:c>
      <x:c r="F32" s="55" t="str">
        <x:v>apps/worker</x:v>
      </x:c>
      <x:c r="G32" s="55" t="str">
        <x:v>Lockfile + SCA</x:v>
      </x:c>
    </x:row>
    <x:row r="33">
      <x:c r="A33" s="58" t="str">
        <x:v>BE-013</x:v>
      </x:c>
      <x:c r="B33" s="55" t="str">
        <x:v>Object storage</x:v>
      </x:c>
      <x:c r="C33" s="55" t="str">
        <x:v>AWS SDK S3 client / compatible storage</x:v>
      </x:c>
      <x:c r="D33" s="55" t="str">
        <x:v>Selected</x:v>
      </x:c>
      <x:c r="E33" s="55" t="str">
        <x:v>Imports, exports, assets and error reports; signed URLs and retention policies.</x:v>
      </x:c>
      <x:c r="F33" s="55" t="str">
        <x:v>apps/api + worker</x:v>
      </x:c>
      <x:c r="G33" s="55" t="str">
        <x:v>Lockfile + SCA</x:v>
      </x:c>
    </x:row>
    <x:row r="34">
      <x:c r="A34" s="58" t="str">
        <x:v>BE-014</x:v>
      </x:c>
      <x:c r="B34" s="55" t="str">
        <x:v>Logging</x:v>
      </x:c>
      <x:c r="C34" s="55" t="str">
        <x:v>Pino</x:v>
      </x:c>
      <x:c r="D34" s="55" t="str">
        <x:v>Selected</x:v>
      </x:c>
      <x:c r="E34" s="55" t="str">
        <x:v>Structured logs with correlation, tenant, campaign and job IDs; PII redaction.</x:v>
      </x:c>
      <x:c r="F34" s="55" t="str">
        <x:v>all services</x:v>
      </x:c>
      <x:c r="G34" s="55" t="str">
        <x:v>Lockfile + SCA</x:v>
      </x:c>
    </x:row>
    <x:row r="35">
      <x:c r="A35" s="58" t="str">
        <x:v>BE-015</x:v>
      </x:c>
      <x:c r="B35" s="55" t="str">
        <x:v>Telemetry</x:v>
      </x:c>
      <x:c r="C35" s="55" t="str">
        <x:v>OpenTelemetry</x:v>
      </x:c>
      <x:c r="D35" s="55" t="str">
        <x:v>Selected</x:v>
      </x:c>
      <x:c r="E35" s="55" t="str">
        <x:v>Trace REST -&gt; outbox -&gt; queue -&gt; provider/webhook path and collect queue lag.</x:v>
      </x:c>
      <x:c r="F35" s="55" t="str">
        <x:v>all services</x:v>
      </x:c>
      <x:c r="G35" s="55" t="str">
        <x:v>Lockfile + SCA</x:v>
      </x:c>
    </x:row>
    <x:row r="36">
      <x:c r="A36" s="58" t="str">
        <x:v>WS-001</x:v>
      </x:c>
      <x:c r="B36" s="55" t="str">
        <x:v>Monorepo</x:v>
      </x:c>
      <x:c r="C36" s="55" t="str">
        <x:v>pnpm workspaces + Turborepo</x:v>
      </x:c>
      <x:c r="D36" s="55" t="str">
        <x:v>Selected</x:v>
      </x:c>
      <x:c r="E36" s="55" t="str">
        <x:v>Atomic FE/BE/contract changes, shared tooling and filtered builds.</x:v>
      </x:c>
      <x:c r="F36" s="55" t="str">
        <x:v>workspace</x:v>
      </x:c>
      <x:c r="G36" s="55" t="str">
        <x:v>Lockfile + SCA</x:v>
      </x:c>
    </x:row>
    <x:row r="37">
      <x:c r="A37" s="59" t="str">
        <x:v>WS-002</x:v>
      </x:c>
      <x:c r="B37" s="56" t="str">
        <x:v>Dependency governance</x:v>
      </x:c>
      <x:c r="C37" s="56" t="str">
        <x:v>Renovate + lockfile + SBOM</x:v>
      </x:c>
      <x:c r="D37" s="56" t="str">
        <x:v>Selected</x:v>
      </x:c>
      <x:c r="E37" s="56" t="str">
        <x:v>Scheduled updates, controlled majors, license/security review and reproducible builds.</x:v>
      </x:c>
      <x:c r="F37" s="56" t="str">
        <x:v>workspace</x:v>
      </x:c>
      <x:c r="G37" s="56" t="str">
        <x:v>Lockfile + SCA</x:v>
      </x:c>
    </x:row>
  </x:sheetData>
  <x:mergeCells>
    <x:mergeCell ref="A1:G1"/>
    <x:mergeCell ref="A2:G2"/>
  </x:mergeCells>
  <x:dataValidations count="1">
    <x:dataValidation type="list" sqref="D6:D37">
      <x:formula1>"Selected,Selected with restrictions,Spike required,Deferred,Rejected"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57" hidden="0" customWidth="1"/>
    <x:col min="4" max="4" width="20" hidden="0" customWidth="1"/>
    <x:col min="5" max="5" width="31" hidden="0" customWidth="1"/>
    <x:col min="6" max="6" width="11" hidden="0" customWidth="1"/>
    <x:col min="7" max="7" width="26" hidden="0" customWidth="1"/>
    <x:col min="8" max="8" width="34" hidden="0" customWidth="1"/>
    <x:col min="9" max="9" width="16" hidden="0" customWidth="1"/>
  </x:cols>
  <x:sheetData>
    <x:row r="1" ht="34" customHeight="1">
      <x:c r="A1" s="3" t="str">
        <x:v>REALTIME EVENT CATALOG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6" t="str">
        <x:v>Socket.IO events are prompt delivery; REST/PostgreSQL remain authoritative after reconnect or gap</x:v>
      </x:c>
      <x:c r="B2" s="6"/>
      <x:c r="C2" s="6"/>
      <x:c r="D2" s="6"/>
      <x:c r="E2" s="6"/>
      <x:c r="F2" s="6"/>
      <x:c r="G2" s="6"/>
      <x:c r="H2" s="6"/>
      <x:c r="I2" s="6"/>
    </x:row>
    <x:row r="5" ht="30" customHeight="1">
      <x:c r="A5" s="15" t="str">
        <x:v>Event</x:v>
      </x:c>
      <x:c r="B5" s="16" t="str">
        <x:v>Channel</x:v>
      </x:c>
      <x:c r="C5" s="16" t="str">
        <x:v>Purpose</x:v>
      </x:c>
      <x:c r="D5" s="16" t="str">
        <x:v>Cadence</x:v>
      </x:c>
      <x:c r="E5" s="16" t="str">
        <x:v>Dedupe key</x:v>
      </x:c>
      <x:c r="F5" s="16" t="str">
        <x:v>Priority</x:v>
      </x:c>
      <x:c r="G5" s="16" t="str">
        <x:v>Durable state</x:v>
      </x:c>
      <x:c r="H5" s="16" t="str">
        <x:v>Client action</x:v>
      </x:c>
      <x:c r="I5" s="17" t="str">
        <x:v>Owner</x:v>
      </x:c>
    </x:row>
    <x:row r="6">
      <x:c r="A6" s="73" t="str">
        <x:v>rt.connection.ready</x:v>
      </x:c>
      <x:c r="B6" s="73" t="str">
        <x:v>user:{user_id}</x:v>
      </x:c>
      <x:c r="C6" s="73" t="str">
        <x:v>Connection authorized; includes server_time and resume capability</x:v>
      </x:c>
      <x:c r="D6" s="73" t="str">
        <x:v>At connect</x:v>
      </x:c>
      <x:c r="E6" s="73" t="str">
        <x:v>No</x:v>
      </x:c>
      <x:c r="F6" s="79" t="str">
        <x:v>P0</x:v>
      </x:c>
      <x:c r="G6" s="73" t="str">
        <x:v>Resource API</x:v>
      </x:c>
      <x:c r="H6" s="73" t="str">
        <x:v>Invalidate/refetch</x:v>
      </x:c>
      <x:c r="I6" s="73" t="str">
        <x:v>BE+FE</x:v>
      </x:c>
    </x:row>
    <x:row r="7">
      <x:c r="A7" s="74" t="str">
        <x:v>rt.resync_required</x:v>
      </x:c>
      <x:c r="B7" s="74" t="str">
        <x:v>user:{user_id}</x:v>
      </x:c>
      <x:c r="C7" s="74" t="str">
        <x:v>Cursor is outside replay window; client refetches affected resources</x:v>
      </x:c>
      <x:c r="D7" s="74" t="str">
        <x:v>On gap</x:v>
      </x:c>
      <x:c r="E7" s="74" t="str">
        <x:v>No</x:v>
      </x:c>
      <x:c r="F7" s="83" t="str">
        <x:v>P0</x:v>
      </x:c>
      <x:c r="G7" s="74" t="str">
        <x:v>Resource API</x:v>
      </x:c>
      <x:c r="H7" s="74" t="str">
        <x:v>Invalidate/refetch</x:v>
      </x:c>
      <x:c r="I7" s="74" t="str">
        <x:v>BE+FE</x:v>
      </x:c>
    </x:row>
    <x:row r="8">
      <x:c r="A8" s="74" t="str">
        <x:v>notification.created</x:v>
      </x:c>
      <x:c r="B8" s="74" t="str">
        <x:v>user:{user_id}</x:v>
      </x:c>
      <x:c r="C8" s="74" t="str">
        <x:v>New durable notification; update badge and optionally show toast</x:v>
      </x:c>
      <x:c r="D8" s="74" t="str">
        <x:v>Immediate</x:v>
      </x:c>
      <x:c r="E8" s="74" t="str">
        <x:v>notification_id</x:v>
      </x:c>
      <x:c r="F8" s="83" t="str">
        <x:v>P0</x:v>
      </x:c>
      <x:c r="G8" s="74" t="str">
        <x:v>Notification API</x:v>
      </x:c>
      <x:c r="H8" s="74" t="str">
        <x:v>Invalidate/refetch</x:v>
      </x:c>
      <x:c r="I8" s="74" t="str">
        <x:v>BE+FE</x:v>
      </x:c>
    </x:row>
    <x:row r="9">
      <x:c r="A9" s="74" t="str">
        <x:v>notification.updated</x:v>
      </x:c>
      <x:c r="B9" s="74" t="str">
        <x:v>user:{user_id}</x:v>
      </x:c>
      <x:c r="C9" s="74" t="str">
        <x:v>Notification resolved/changed</x:v>
      </x:c>
      <x:c r="D9" s="74" t="str">
        <x:v>Immediate</x:v>
      </x:c>
      <x:c r="E9" s="74" t="str">
        <x:v>notification_id</x:v>
      </x:c>
      <x:c r="F9" s="87" t="str">
        <x:v>P1</x:v>
      </x:c>
      <x:c r="G9" s="74" t="str">
        <x:v>Notification API</x:v>
      </x:c>
      <x:c r="H9" s="74" t="str">
        <x:v>Invalidate/refetch</x:v>
      </x:c>
      <x:c r="I9" s="74" t="str">
        <x:v>BE+FE</x:v>
      </x:c>
    </x:row>
    <x:row r="10">
      <x:c r="A10" s="74" t="str">
        <x:v>notification.read</x:v>
      </x:c>
      <x:c r="B10" s="74" t="str">
        <x:v>user:{user_id}</x:v>
      </x:c>
      <x:c r="C10" s="74" t="str">
        <x:v>Read state synchronized across tabs/devices</x:v>
      </x:c>
      <x:c r="D10" s="74" t="str">
        <x:v>Immediate</x:v>
      </x:c>
      <x:c r="E10" s="74" t="str">
        <x:v>notification_id+user_id</x:v>
      </x:c>
      <x:c r="F10" s="87" t="str">
        <x:v>P1</x:v>
      </x:c>
      <x:c r="G10" s="74" t="str">
        <x:v>Notification API</x:v>
      </x:c>
      <x:c r="H10" s="74" t="str">
        <x:v>Invalidate/refetch</x:v>
      </x:c>
      <x:c r="I10" s="74" t="str">
        <x:v>BE+FE</x:v>
      </x:c>
    </x:row>
    <x:row r="11">
      <x:c r="A11" s="74" t="str">
        <x:v>campaign.state_changed</x:v>
      </x:c>
      <x:c r="B11" s="74" t="str">
        <x:v>campaign:{campaign_id}</x:v>
      </x:c>
      <x:c r="C11" s="74" t="str">
        <x:v>Draft/scheduled/queued/sending/paused/completed/failed/canceled</x:v>
      </x:c>
      <x:c r="D11" s="74" t="str">
        <x:v>Immediate</x:v>
      </x:c>
      <x:c r="E11" s="74" t="str">
        <x:v>campaign_id+version</x:v>
      </x:c>
      <x:c r="F11" s="83" t="str">
        <x:v>P0</x:v>
      </x:c>
      <x:c r="G11" s="74" t="str">
        <x:v>Resource API</x:v>
      </x:c>
      <x:c r="H11" s="74" t="str">
        <x:v>Invalidate/refetch</x:v>
      </x:c>
      <x:c r="I11" s="74" t="str">
        <x:v>BE+FE</x:v>
      </x:c>
    </x:row>
    <x:row r="12">
      <x:c r="A12" s="74" t="str">
        <x:v>campaign.progress</x:v>
      </x:c>
      <x:c r="B12" s="74" t="str">
        <x:v>campaign:{campaign_id}</x:v>
      </x:c>
      <x:c r="C12" s="74" t="str">
        <x:v>Aggregate processed/sent/failed/skipped/pending/progress/ETA</x:v>
      </x:c>
      <x:c r="D12" s="74" t="str">
        <x:v>Throttle &lt;=1/s</x:v>
      </x:c>
      <x:c r="E12" s="74" t="str">
        <x:v>campaign_id+version</x:v>
      </x:c>
      <x:c r="F12" s="83" t="str">
        <x:v>P0</x:v>
      </x:c>
      <x:c r="G12" s="74" t="str">
        <x:v>Job/resource API</x:v>
      </x:c>
      <x:c r="H12" s="74" t="str">
        <x:v>Patch cache, periodic refetch</x:v>
      </x:c>
      <x:c r="I12" s="74" t="str">
        <x:v>BE+FE</x:v>
      </x:c>
    </x:row>
    <x:row r="13">
      <x:c r="A13" s="74" t="str">
        <x:v>campaign.issue_detected</x:v>
      </x:c>
      <x:c r="B13" s="74" t="str">
        <x:v>campaign:{campaign_id}</x:v>
      </x:c>
      <x:c r="C13" s="74" t="str">
        <x:v>Failure threshold, provider rejection or reconciliation mismatch</x:v>
      </x:c>
      <x:c r="D13" s="74" t="str">
        <x:v>Immediate</x:v>
      </x:c>
      <x:c r="E13" s="74" t="str">
        <x:v>issue_id</x:v>
      </x:c>
      <x:c r="F13" s="83" t="str">
        <x:v>P0</x:v>
      </x:c>
      <x:c r="G13" s="74" t="str">
        <x:v>Resource API</x:v>
      </x:c>
      <x:c r="H13" s="74" t="str">
        <x:v>Invalidate/refetch</x:v>
      </x:c>
      <x:c r="I13" s="74" t="str">
        <x:v>BE+FE</x:v>
      </x:c>
    </x:row>
    <x:row r="14">
      <x:c r="A14" s="74" t="str">
        <x:v>schedule.state_changed</x:v>
      </x:c>
      <x:c r="B14" s="74" t="str">
        <x:v>campaign:{campaign_id}</x:v>
      </x:c>
      <x:c r="C14" s="74" t="str">
        <x:v>Created, rescheduled, canceled, due, dispatched, missed</x:v>
      </x:c>
      <x:c r="D14" s="74" t="str">
        <x:v>Immediate</x:v>
      </x:c>
      <x:c r="E14" s="74" t="str">
        <x:v>schedule_id+version</x:v>
      </x:c>
      <x:c r="F14" s="83" t="str">
        <x:v>P0</x:v>
      </x:c>
      <x:c r="G14" s="74" t="str">
        <x:v>Resource API</x:v>
      </x:c>
      <x:c r="H14" s="74" t="str">
        <x:v>Invalidate/refetch</x:v>
      </x:c>
      <x:c r="I14" s="74" t="str">
        <x:v>BE+FE</x:v>
      </x:c>
    </x:row>
    <x:row r="15">
      <x:c r="A15" s="74" t="str">
        <x:v>audience.validation_progress</x:v>
      </x:c>
      <x:c r="B15" s="74" t="str">
        <x:v>campaign:{campaign_id}</x:v>
      </x:c>
      <x:c r="C15" s="74" t="str">
        <x:v>Large audience/variable validation progress</x:v>
      </x:c>
      <x:c r="D15" s="74" t="str">
        <x:v>Throttle &lt;=1/s</x:v>
      </x:c>
      <x:c r="E15" s="74" t="str">
        <x:v>validation_job_id+version</x:v>
      </x:c>
      <x:c r="F15" s="87" t="str">
        <x:v>P1</x:v>
      </x:c>
      <x:c r="G15" s="74" t="str">
        <x:v>Job/resource API</x:v>
      </x:c>
      <x:c r="H15" s="74" t="str">
        <x:v>Patch cache, periodic refetch</x:v>
      </x:c>
      <x:c r="I15" s="74" t="str">
        <x:v>BE+FE</x:v>
      </x:c>
    </x:row>
    <x:row r="16">
      <x:c r="A16" s="74" t="str">
        <x:v>audience.validation_completed</x:v>
      </x:c>
      <x:c r="B16" s="74" t="str">
        <x:v>campaign:{campaign_id}</x:v>
      </x:c>
      <x:c r="C16" s="74" t="str">
        <x:v>Counts and link to missing-variable resolution</x:v>
      </x:c>
      <x:c r="D16" s="74" t="str">
        <x:v>Once</x:v>
      </x:c>
      <x:c r="E16" s="74" t="str">
        <x:v>validation_job_id</x:v>
      </x:c>
      <x:c r="F16" s="83" t="str">
        <x:v>P0</x:v>
      </x:c>
      <x:c r="G16" s="74" t="str">
        <x:v>Job/resource API</x:v>
      </x:c>
      <x:c r="H16" s="74" t="str">
        <x:v>Invalidate/refetch</x:v>
      </x:c>
      <x:c r="I16" s="74" t="str">
        <x:v>BE+FE</x:v>
      </x:c>
    </x:row>
    <x:row r="17">
      <x:c r="A17" s="74" t="str">
        <x:v>import.progress</x:v>
      </x:c>
      <x:c r="B17" s="74" t="str">
        <x:v>job:{job_id}</x:v>
      </x:c>
      <x:c r="C17" s="74" t="str">
        <x:v>Rows parsed/valid/created/updated/skipped/failed</x:v>
      </x:c>
      <x:c r="D17" s="74" t="str">
        <x:v>Throttle &lt;=1/s</x:v>
      </x:c>
      <x:c r="E17" s="74" t="str">
        <x:v>job_id+version</x:v>
      </x:c>
      <x:c r="F17" s="87" t="str">
        <x:v>P1</x:v>
      </x:c>
      <x:c r="G17" s="74" t="str">
        <x:v>Job/resource API</x:v>
      </x:c>
      <x:c r="H17" s="74" t="str">
        <x:v>Patch cache, periodic refetch</x:v>
      </x:c>
      <x:c r="I17" s="74" t="str">
        <x:v>BE+FE</x:v>
      </x:c>
    </x:row>
    <x:row r="18">
      <x:c r="A18" s="74" t="str">
        <x:v>import.completed</x:v>
      </x:c>
      <x:c r="B18" s="74" t="str">
        <x:v>job:{job_id}</x:v>
      </x:c>
      <x:c r="C18" s="74" t="str">
        <x:v>Final import summary and error-file link</x:v>
      </x:c>
      <x:c r="D18" s="74" t="str">
        <x:v>Once</x:v>
      </x:c>
      <x:c r="E18" s="74" t="str">
        <x:v>job_id</x:v>
      </x:c>
      <x:c r="F18" s="87" t="str">
        <x:v>P1</x:v>
      </x:c>
      <x:c r="G18" s="74" t="str">
        <x:v>Job/resource API</x:v>
      </x:c>
      <x:c r="H18" s="74" t="str">
        <x:v>Invalidate/refetch</x:v>
      </x:c>
      <x:c r="I18" s="74" t="str">
        <x:v>BE+FE</x:v>
      </x:c>
    </x:row>
    <x:row r="19">
      <x:c r="A19" s="74" t="str">
        <x:v>bulk_update.progress</x:v>
      </x:c>
      <x:c r="B19" s="74" t="str">
        <x:v>job:{job_id}</x:v>
      </x:c>
      <x:c r="C19" s="74" t="str">
        <x:v>Resolved scope and progress for custom data/list/tag changes</x:v>
      </x:c>
      <x:c r="D19" s="74" t="str">
        <x:v>Throttle &lt;=1/s</x:v>
      </x:c>
      <x:c r="E19" s="74" t="str">
        <x:v>job_id+version</x:v>
      </x:c>
      <x:c r="F19" s="87" t="str">
        <x:v>P1</x:v>
      </x:c>
      <x:c r="G19" s="74" t="str">
        <x:v>Job/resource API</x:v>
      </x:c>
      <x:c r="H19" s="74" t="str">
        <x:v>Patch cache, periodic refetch</x:v>
      </x:c>
      <x:c r="I19" s="74" t="str">
        <x:v>BE+FE</x:v>
      </x:c>
    </x:row>
    <x:row r="20">
      <x:c r="A20" s="74" t="str">
        <x:v>bulk_update.completed</x:v>
      </x:c>
      <x:c r="B20" s="74" t="str">
        <x:v>job:{job_id}</x:v>
      </x:c>
      <x:c r="C20" s="74" t="str">
        <x:v>Final result with partial failures</x:v>
      </x:c>
      <x:c r="D20" s="74" t="str">
        <x:v>Once</x:v>
      </x:c>
      <x:c r="E20" s="74" t="str">
        <x:v>job_id</x:v>
      </x:c>
      <x:c r="F20" s="87" t="str">
        <x:v>P1</x:v>
      </x:c>
      <x:c r="G20" s="74" t="str">
        <x:v>Job/resource API</x:v>
      </x:c>
      <x:c r="H20" s="74" t="str">
        <x:v>Invalidate/refetch</x:v>
      </x:c>
      <x:c r="I20" s="74" t="str">
        <x:v>BE+FE</x:v>
      </x:c>
    </x:row>
    <x:row r="21">
      <x:c r="A21" s="74" t="str">
        <x:v>export.completed</x:v>
      </x:c>
      <x:c r="B21" s="74" t="str">
        <x:v>job:{job_id}</x:v>
      </x:c>
      <x:c r="C21" s="74" t="str">
        <x:v>Download is ready or export failed</x:v>
      </x:c>
      <x:c r="D21" s="74" t="str">
        <x:v>Once</x:v>
      </x:c>
      <x:c r="E21" s="74" t="str">
        <x:v>job_id</x:v>
      </x:c>
      <x:c r="F21" s="91" t="str">
        <x:v>P2</x:v>
      </x:c>
      <x:c r="G21" s="74" t="str">
        <x:v>Job/resource API</x:v>
      </x:c>
      <x:c r="H21" s="74" t="str">
        <x:v>Invalidate/refetch</x:v>
      </x:c>
      <x:c r="I21" s="74" t="str">
        <x:v>BE+FE</x:v>
      </x:c>
    </x:row>
    <x:row r="22">
      <x:c r="A22" s="74" t="str">
        <x:v>sender.state_changed</x:v>
      </x:c>
      <x:c r="B22" s="74" t="str">
        <x:v>org:{organization_id}</x:v>
      </x:c>
      <x:c r="C22" s="74" t="str">
        <x:v>Sender verified, disabled, credential problem or quota issue</x:v>
      </x:c>
      <x:c r="D22" s="74" t="str">
        <x:v>Immediate</x:v>
      </x:c>
      <x:c r="E22" s="74" t="str">
        <x:v>sender_id+version</x:v>
      </x:c>
      <x:c r="F22" s="83" t="str">
        <x:v>P0</x:v>
      </x:c>
      <x:c r="G22" s="74" t="str">
        <x:v>Resource API</x:v>
      </x:c>
      <x:c r="H22" s="74" t="str">
        <x:v>Invalidate/refetch</x:v>
      </x:c>
      <x:c r="I22" s="74" t="str">
        <x:v>BE+FE</x:v>
      </x:c>
    </x:row>
    <x:row r="23">
      <x:c r="A23" s="74" t="str">
        <x:v>quota.threshold_reached</x:v>
      </x:c>
      <x:c r="B23" s="74" t="str">
        <x:v>org:{organization_id}</x:v>
      </x:c>
      <x:c r="C23" s="74" t="str">
        <x:v>Configured 80/90/100 percent sending quota threshold</x:v>
      </x:c>
      <x:c r="D23" s="74" t="str">
        <x:v>Per threshold</x:v>
      </x:c>
      <x:c r="E23" s="74" t="str">
        <x:v>quota_period+threshold</x:v>
      </x:c>
      <x:c r="F23" s="87" t="str">
        <x:v>P1</x:v>
      </x:c>
      <x:c r="G23" s="74" t="str">
        <x:v>Resource API</x:v>
      </x:c>
      <x:c r="H23" s="74" t="str">
        <x:v>Invalidate/refetch</x:v>
      </x:c>
      <x:c r="I23" s="74" t="str">
        <x:v>BE+FE</x:v>
      </x:c>
    </x:row>
    <x:row r="24">
      <x:c r="A24" s="74" t="str">
        <x:v>recipient.segment_changed</x:v>
      </x:c>
      <x:c r="B24" s="74" t="str">
        <x:v>resource:recipients</x:v>
      </x:c>
      <x:c r="C24" s="74" t="str">
        <x:v>Invalidate list/tag/member counts after bulk job</x:v>
      </x:c>
      <x:c r="D24" s="74" t="str">
        <x:v>After commit</x:v>
      </x:c>
      <x:c r="E24" s="74" t="str">
        <x:v>change_set_id</x:v>
      </x:c>
      <x:c r="F24" s="91" t="str">
        <x:v>P2</x:v>
      </x:c>
      <x:c r="G24" s="74" t="str">
        <x:v>Resource API</x:v>
      </x:c>
      <x:c r="H24" s="74" t="str">
        <x:v>Invalidate/refetch</x:v>
      </x:c>
      <x:c r="I24" s="74" t="str">
        <x:v>BE+FE</x:v>
      </x:c>
    </x:row>
    <x:row r="25">
      <x:c r="A25" s="75" t="str">
        <x:v>template.published</x:v>
      </x:c>
      <x:c r="B25" s="75" t="str">
        <x:v>resource:templates</x:v>
      </x:c>
      <x:c r="C25" s="75" t="str">
        <x:v>Invalidate template list/version cache</x:v>
      </x:c>
      <x:c r="D25" s="75" t="str">
        <x:v>After commit</x:v>
      </x:c>
      <x:c r="E25" s="75" t="str">
        <x:v>template_version_id</x:v>
      </x:c>
      <x:c r="F25" s="95" t="str">
        <x:v>P2</x:v>
      </x:c>
      <x:c r="G25" s="75" t="str">
        <x:v>Resource API</x:v>
      </x:c>
      <x:c r="H25" s="75" t="str">
        <x:v>Invalidate/refetch</x:v>
      </x:c>
      <x:c r="I25" s="75" t="str">
        <x:v>BE+FE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6" hidden="0" customWidth="1"/>
    <x:col min="3" max="3" width="75" hidden="0" customWidth="1"/>
    <x:col min="4" max="4" width="11" hidden="0" customWidth="1"/>
    <x:col min="5" max="5" width="12" hidden="0" customWidth="1"/>
    <x:col min="6" max="6" width="47" hidden="0" customWidth="1"/>
    <x:col min="7" max="7" width="15" hidden="0" customWidth="1"/>
  </x:cols>
  <x:sheetData>
    <x:row r="1" ht="34" customHeight="1">
      <x:c r="A1" s="3" t="str">
        <x:v>NOTIFICATION BUSINESS RULES</x:v>
      </x:c>
      <x:c r="B1" s="3"/>
      <x:c r="C1" s="3"/>
      <x:c r="D1" s="3"/>
      <x:c r="E1" s="3"/>
      <x:c r="F1" s="3"/>
      <x:c r="G1" s="3"/>
    </x:row>
    <x:row r="2" ht="26" customHeight="1">
      <x:c r="A2" s="6" t="str">
        <x:v>Durable notification center is separate from transient toast feedback</x:v>
      </x:c>
      <x:c r="B2" s="6"/>
      <x:c r="C2" s="6"/>
      <x:c r="D2" s="6"/>
      <x:c r="E2" s="6"/>
      <x:c r="F2" s="6"/>
      <x:c r="G2" s="6"/>
    </x:row>
    <x:row r="5" ht="30" customHeight="1">
      <x:c r="A5" s="15" t="str">
        <x:v>Rule ID</x:v>
      </x:c>
      <x:c r="B5" s="16" t="str">
        <x:v>Title</x:v>
      </x:c>
      <x:c r="C5" s="16" t="str">
        <x:v>Business rule</x:v>
      </x:c>
      <x:c r="D5" s="16" t="str">
        <x:v>Priority</x:v>
      </x:c>
      <x:c r="E5" s="16" t="str">
        <x:v>Release</x:v>
      </x:c>
      <x:c r="F5" s="16" t="str">
        <x:v>Required test focus</x:v>
      </x:c>
      <x:c r="G5" s="17" t="str">
        <x:v>Status</x:v>
      </x:c>
    </x:row>
    <x:row r="6">
      <x:c r="A6" s="73" t="str">
        <x:v>BR-NOT-001</x:v>
      </x:c>
      <x:c r="B6" s="73" t="str">
        <x:v>Durable vs transient</x:v>
      </x:c>
      <x:c r="C6" s="73" t="str">
        <x:v>A toast confirms the current action; notification center stores durable business events. A toast alone must not represent a failure requiring later action.</x:v>
      </x:c>
      <x:c r="D6" s="79" t="str">
        <x:v>P0</x:v>
      </x:c>
      <x:c r="E6" s="73" t="str">
        <x:v>MVP</x:v>
      </x:c>
      <x:c r="F6" s="73" t="str">
        <x:v>Toast vs inbox behavior and reload</x:v>
      </x:c>
      <x:c r="G6" s="73" t="str">
        <x:v>Proposed</x:v>
      </x:c>
    </x:row>
    <x:row r="7">
      <x:c r="A7" s="74" t="str">
        <x:v>BR-NOT-002</x:v>
      </x:c>
      <x:c r="B7" s="74" t="str">
        <x:v>Recipient scope</x:v>
      </x:c>
      <x:c r="C7" s="74" t="str">
        <x:v>Every notification resolves explicit user recipients within one tenant based on role, ownership, subscription and preferences.</x:v>
      </x:c>
      <x:c r="D7" s="83" t="str">
        <x:v>P0</x:v>
      </x:c>
      <x:c r="E7" s="74" t="str">
        <x:v>MVP</x:v>
      </x:c>
      <x:c r="F7" s="74" t="str">
        <x:v>Role/ownership/tenant recipient resolution</x:v>
      </x:c>
      <x:c r="G7" s="74" t="str">
        <x:v>Proposed</x:v>
      </x:c>
    </x:row>
    <x:row r="8">
      <x:c r="A8" s="74" t="str">
        <x:v>BR-NOT-003</x:v>
      </x:c>
      <x:c r="B8" s="74" t="str">
        <x:v>Authorization</x:v>
      </x:c>
      <x:c r="C8" s="74" t="str">
        <x:v>Opening a notification deep link rechecks current permission; payload must not reveal data the user can no longer access.</x:v>
      </x:c>
      <x:c r="D8" s="83" t="str">
        <x:v>P0</x:v>
      </x:c>
      <x:c r="E8" s="74" t="str">
        <x:v>MVP</x:v>
      </x:c>
      <x:c r="F8" s="74" t="str">
        <x:v>Deep-link authorization after permission change</x:v>
      </x:c>
      <x:c r="G8" s="74" t="str">
        <x:v>Proposed</x:v>
      </x:c>
    </x:row>
    <x:row r="9">
      <x:c r="A9" s="74" t="str">
        <x:v>BR-NOT-004</x:v>
      </x:c>
      <x:c r="B9" s="74" t="str">
        <x:v>Read state</x:v>
      </x:c>
      <x:c r="C9" s="74" t="str">
        <x:v>Unread/read is stored per user and synchronized across devices; marking one item or all items is idempotent.</x:v>
      </x:c>
      <x:c r="D9" s="87" t="str">
        <x:v>P1</x:v>
      </x:c>
      <x:c r="E9" s="74" t="str">
        <x:v>MVP</x:v>
      </x:c>
      <x:c r="F9" s="74" t="str">
        <x:v>Single/all read, multi-device idempotency</x:v>
      </x:c>
      <x:c r="G9" s="74" t="str">
        <x:v>Proposed</x:v>
      </x:c>
    </x:row>
    <x:row r="10">
      <x:c r="A10" s="74" t="str">
        <x:v>BR-NOT-005</x:v>
      </x:c>
      <x:c r="B10" s="74" t="str">
        <x:v>Action state</x:v>
      </x:c>
      <x:c r="C10" s="74" t="str">
        <x:v>Actionable notifications may be open, resolved or expired independently of read state.</x:v>
      </x:c>
      <x:c r="D10" s="87" t="str">
        <x:v>P1</x:v>
      </x:c>
      <x:c r="E10" s="74" t="str">
        <x:v>MVP</x:v>
      </x:c>
      <x:c r="F10" s="74" t="str">
        <x:v>Read vs resolved/expired states</x:v>
      </x:c>
      <x:c r="G10" s="74" t="str">
        <x:v>Proposed</x:v>
      </x:c>
    </x:row>
    <x:row r="11">
      <x:c r="A11" s="74" t="str">
        <x:v>BR-NOT-006</x:v>
      </x:c>
      <x:c r="B11" s="74" t="str">
        <x:v>Deduplication</x:v>
      </x:c>
      <x:c r="C11" s="74" t="str">
        <x:v>The same source event and recipient creates at most one notification; repeated provider webhooks cannot inflate unread count.</x:v>
      </x:c>
      <x:c r="D11" s="83" t="str">
        <x:v>P0</x:v>
      </x:c>
      <x:c r="E11" s="74" t="str">
        <x:v>MVP</x:v>
      </x:c>
      <x:c r="F11" s="74" t="str">
        <x:v>Duplicate/out-of-order source events</x:v>
      </x:c>
      <x:c r="G11" s="74" t="str">
        <x:v>Proposed</x:v>
      </x:c>
    </x:row>
    <x:row r="12">
      <x:c r="A12" s="74" t="str">
        <x:v>BR-NOT-007</x:v>
      </x:c>
      <x:c r="B12" s="74" t="str">
        <x:v>Severity</x:v>
      </x:c>
      <x:c r="C12" s="74" t="str">
        <x:v>Severity is info, success, warning or critical and controls icon/color only; it does not replace event type.</x:v>
      </x:c>
      <x:c r="D12" s="87" t="str">
        <x:v>P1</x:v>
      </x:c>
      <x:c r="E12" s="74" t="str">
        <x:v>MVP</x:v>
      </x:c>
      <x:c r="F12" s="74" t="str">
        <x:v>Severity rendering and accessibility</x:v>
      </x:c>
      <x:c r="G12" s="74" t="str">
        <x:v>Proposed</x:v>
      </x:c>
    </x:row>
    <x:row r="13">
      <x:c r="A13" s="74" t="str">
        <x:v>BR-NOT-008</x:v>
      </x:c>
      <x:c r="B13" s="74" t="str">
        <x:v>Preferences</x:v>
      </x:c>
      <x:c r="C13" s="74" t="str">
        <x:v>Users may mute optional event categories; security, permission and critical delivery failures cannot be muted unless policy allows.</x:v>
      </x:c>
      <x:c r="D13" s="87" t="str">
        <x:v>P1</x:v>
      </x:c>
      <x:c r="E13" s="74" t="str">
        <x:v>MVP</x:v>
      </x:c>
      <x:c r="F13" s="74" t="str">
        <x:v>Mandatory vs optional mute policy</x:v>
      </x:c>
      <x:c r="G13" s="74" t="str">
        <x:v>Proposed</x:v>
      </x:c>
    </x:row>
    <x:row r="14">
      <x:c r="A14" s="74" t="str">
        <x:v>BR-NOT-009</x:v>
      </x:c>
      <x:c r="B14" s="74" t="str">
        <x:v>Channels</x:v>
      </x:c>
      <x:c r="C14" s="74" t="str">
        <x:v>MVP supports in-app; email channel is opt-in per event policy. Channel failure does not roll back the underlying business transaction.</x:v>
      </x:c>
      <x:c r="D14" s="87" t="str">
        <x:v>P1</x:v>
      </x:c>
      <x:c r="E14" s="74" t="str">
        <x:v>MVP</x:v>
      </x:c>
      <x:c r="F14" s="74" t="str">
        <x:v>Channel failure isolation</x:v>
      </x:c>
      <x:c r="G14" s="74" t="str">
        <x:v>Proposed</x:v>
      </x:c>
    </x:row>
    <x:row r="15">
      <x:c r="A15" s="74" t="str">
        <x:v>BR-NOT-010</x:v>
      </x:c>
      <x:c r="B15" s="74" t="str">
        <x:v>Deep link</x:v>
      </x:c>
      <x:c r="C15" s="74" t="str">
        <x:v>Each actionable notification has a stable route and resource ID; invalid/deleted targets show a safe explanatory state.</x:v>
      </x:c>
      <x:c r="D15" s="87" t="str">
        <x:v>P1</x:v>
      </x:c>
      <x:c r="E15" s="74" t="str">
        <x:v>MVP</x:v>
      </x:c>
      <x:c r="F15" s="74" t="str">
        <x:v>Deleted/unauthorized deep link</x:v>
      </x:c>
      <x:c r="G15" s="74" t="str">
        <x:v>Proposed</x:v>
      </x:c>
    </x:row>
    <x:row r="16">
      <x:c r="A16" s="74" t="str">
        <x:v>BR-NOT-011</x:v>
      </x:c>
      <x:c r="B16" s="74" t="str">
        <x:v>Batching</x:v>
      </x:c>
      <x:c r="C16" s="74" t="str">
        <x:v>High-volume similar events are grouped into one summary notification within a configured window.</x:v>
      </x:c>
      <x:c r="D16" s="87" t="str">
        <x:v>P1</x:v>
      </x:c>
      <x:c r="E16" s="74" t="str">
        <x:v>MVP</x:v>
      </x:c>
      <x:c r="F16" s="74" t="str">
        <x:v>Batch window and summary count</x:v>
      </x:c>
      <x:c r="G16" s="74" t="str">
        <x:v>Proposed</x:v>
      </x:c>
    </x:row>
    <x:row r="17">
      <x:c r="A17" s="74" t="str">
        <x:v>BR-NOT-012</x:v>
      </x:c>
      <x:c r="B17" s="74" t="str">
        <x:v>Offline recovery</x:v>
      </x:c>
      <x:c r="C17" s="74" t="str">
        <x:v>After reconnect/login, the unread API is authoritative and fills events missed by the socket connection.</x:v>
      </x:c>
      <x:c r="D17" s="83" t="str">
        <x:v>P0</x:v>
      </x:c>
      <x:c r="E17" s="74" t="str">
        <x:v>MVP</x:v>
      </x:c>
      <x:c r="F17" s="74" t="str">
        <x:v>Offline catch-up and unread reconciliation</x:v>
      </x:c>
      <x:c r="G17" s="74" t="str">
        <x:v>Proposed</x:v>
      </x:c>
    </x:row>
    <x:row r="18">
      <x:c r="A18" s="74" t="str">
        <x:v>BR-NOT-013</x:v>
      </x:c>
      <x:c r="B18" s="74" t="str">
        <x:v>Retention</x:v>
      </x:c>
      <x:c r="C18" s="74" t="str">
        <x:v>Notification retention and PII minimization are configurable; deletion of notification does not delete audit events.</x:v>
      </x:c>
      <x:c r="D18" s="87" t="str">
        <x:v>P1</x:v>
      </x:c>
      <x:c r="E18" s="74" t="str">
        <x:v>MVP</x:v>
      </x:c>
      <x:c r="F18" s="74" t="str">
        <x:v>Retention and audit independence</x:v>
      </x:c>
      <x:c r="G18" s="74" t="str">
        <x:v>Proposed</x:v>
      </x:c>
    </x:row>
    <x:row r="19">
      <x:c r="A19" s="74" t="str">
        <x:v>BR-NOT-014</x:v>
      </x:c>
      <x:c r="B19" s="74" t="str">
        <x:v>Trigger catalog</x:v>
      </x:c>
      <x:c r="C19" s="74" t="str">
        <x:v>Campaign completion/failure, schedule dispatch/miss, import/bulk completion, sender failure and quota thresholds have explicit trigger definitions.</x:v>
      </x:c>
      <x:c r="D19" s="83" t="str">
        <x:v>P0</x:v>
      </x:c>
      <x:c r="E19" s="74" t="str">
        <x:v>MVP</x:v>
      </x:c>
      <x:c r="F19" s="74" t="str">
        <x:v>Every trigger/recipient/severity mapping</x:v>
      </x:c>
      <x:c r="G19" s="74" t="str">
        <x:v>Proposed</x:v>
      </x:c>
    </x:row>
    <x:row r="20">
      <x:c r="A20" s="74" t="str">
        <x:v>BR-NOT-015</x:v>
      </x:c>
      <x:c r="B20" s="74" t="str">
        <x:v>Localization</x:v>
      </x:c>
      <x:c r="C20" s="74" t="str">
        <x:v>Store message key and structured parameters, not only rendered text, so UI can render the user's locale.</x:v>
      </x:c>
      <x:c r="D20" s="91" t="str">
        <x:v>P2</x:v>
      </x:c>
      <x:c r="E20" s="74" t="str">
        <x:v>P1</x:v>
      </x:c>
      <x:c r="F20" s="74" t="str">
        <x:v>Locale switch and unsafe params</x:v>
      </x:c>
      <x:c r="G20" s="74" t="str">
        <x:v>Proposed</x:v>
      </x:c>
    </x:row>
    <x:row r="21">
      <x:c r="A21" s="75" t="str">
        <x:v>BR-NOT-016</x:v>
      </x:c>
      <x:c r="B21" s="75" t="str">
        <x:v>Observability</x:v>
      </x:c>
      <x:c r="C21" s="75" t="str">
        <x:v>Notification creation, socket delivery, channel attempt and read action emit metrics with notification/event IDs but no unmasked PII.</x:v>
      </x:c>
      <x:c r="D21" s="99" t="str">
        <x:v>P1</x:v>
      </x:c>
      <x:c r="E21" s="75" t="str">
        <x:v>MVP</x:v>
      </x:c>
      <x:c r="F21" s="75" t="str">
        <x:v>Metrics/log PII redaction</x:v>
      </x:c>
      <x:c r="G21" s="75" t="str">
        <x:v>Proposed</x:v>
      </x:c>
    </x:row>
  </x:sheetData>
  <x:mergeCells>
    <x:mergeCell ref="A1:G1"/>
    <x:mergeCell ref="A2:G2"/>
  </x:mergeCells>
  <x:dataValidations count="1">
    <x:dataValidation type="list" sqref="G6:G21">
      <x:formula1>"Proposed,Approved,Implemented,Verified,Deferred"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3" hidden="0" customWidth="1"/>
    <x:col min="4" max="4" width="60" hidden="0" customWidth="1"/>
    <x:col min="5" max="5" width="66" hidden="0" customWidth="1"/>
    <x:col min="6" max="6" width="11" hidden="0" customWidth="1"/>
    <x:col min="7" max="7" width="12" hidden="0" customWidth="1"/>
    <x:col min="8" max="8" width="24" hidden="0" customWidth="1"/>
    <x:col min="9" max="9" width="55" hidden="0" customWidth="1"/>
    <x:col min="10" max="10" width="17" hidden="0" customWidth="1"/>
  </x:cols>
  <x:sheetData>
    <x:row r="1" ht="34" customHeight="1">
      <x:c r="A1" s="3" t="str">
        <x:v>DETAILED BUSINESS GAP REVIEW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6" t="str">
        <x:v>75 gaps reviewed against the v1 baseline; each item includes closure recommendation and test focus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5" ht="30" customHeight="1">
      <x:c r="A5" s="15" t="str">
        <x:v>Gap ID</x:v>
      </x:c>
      <x:c r="B5" s="16" t="str">
        <x:v>Domain</x:v>
      </x:c>
      <x:c r="C5" s="16" t="str">
        <x:v>Missing detail</x:v>
      </x:c>
      <x:c r="D5" s="16" t="str">
        <x:v>What is absent/risky</x:v>
      </x:c>
      <x:c r="E5" s="16" t="str">
        <x:v>Required decision or rule</x:v>
      </x:c>
      <x:c r="F5" s="16" t="str">
        <x:v>Priority</x:v>
      </x:c>
      <x:c r="G5" s="16" t="str">
        <x:v>Release</x:v>
      </x:c>
      <x:c r="H5" s="16" t="str">
        <x:v>Owner</x:v>
      </x:c>
      <x:c r="I5" s="16" t="str">
        <x:v>Required test focus</x:v>
      </x:c>
      <x:c r="J5" s="17" t="str">
        <x:v>Status</x:v>
      </x:c>
    </x:row>
    <x:row r="6">
      <x:c r="A6" s="100" t="str">
        <x:v>GAP-NOT-001</x:v>
      </x:c>
      <x:c r="B6" s="73" t="str">
        <x:v>Notification</x:v>
      </x:c>
      <x:c r="C6" s="73" t="str">
        <x:v>Notification center</x:v>
      </x:c>
      <x:c r="D6" s="73" t="str">
        <x:v>No durable inbox, unread badge or history contract.</x:v>
      </x:c>
      <x:c r="E6" s="73" t="str">
        <x:v>Add notification and user_notification entities plus list/unread/read APIs.</x:v>
      </x:c>
      <x:c r="F6" s="79" t="str">
        <x:v>P0</x:v>
      </x:c>
      <x:c r="G6" s="73" t="str">
        <x:v>MVP</x:v>
      </x:c>
      <x:c r="H6" s="73" t="str">
        <x:v>Product+BE+FE</x:v>
      </x:c>
      <x:c r="I6" s="73" t="str">
        <x:v>Create/read/mark-all, pagination, multi-device sync, tenant isolation</x:v>
      </x:c>
      <x:c r="J6" s="73" t="str">
        <x:v>Open</x:v>
      </x:c>
    </x:row>
    <x:row r="7">
      <x:c r="A7" s="101" t="str">
        <x:v>GAP-NOT-002</x:v>
      </x:c>
      <x:c r="B7" s="74" t="str">
        <x:v>Notification</x:v>
      </x:c>
      <x:c r="C7" s="74" t="str">
        <x:v>Trigger ownership</x:v>
      </x:c>
      <x:c r="D7" s="74" t="str">
        <x:v>Schedule rule says notify but does not define who is notified.</x:v>
      </x:c>
      <x:c r="E7" s="74" t="str">
        <x:v>Map every trigger to owner, watchers, Admin/Operator roles and opt-out policy.</x:v>
      </x:c>
      <x:c r="F7" s="83" t="str">
        <x:v>P0</x:v>
      </x:c>
      <x:c r="G7" s="74" t="str">
        <x:v>MVP</x:v>
      </x:c>
      <x:c r="H7" s="74" t="str">
        <x:v>Product</x:v>
      </x:c>
      <x:c r="I7" s="74" t="str">
        <x:v>Owner changed, role removed, multiple watchers, no eligible recipient</x:v>
      </x:c>
      <x:c r="J7" s="74" t="str">
        <x:v>Open</x:v>
      </x:c>
    </x:row>
    <x:row r="8">
      <x:c r="A8" s="101" t="str">
        <x:v>GAP-NOT-003</x:v>
      </x:c>
      <x:c r="B8" s="74" t="str">
        <x:v>Notification</x:v>
      </x:c>
      <x:c r="C8" s="74" t="str">
        <x:v>Deduplication</x:v>
      </x:c>
      <x:c r="D8" s="74" t="str">
        <x:v>Duplicate domain/provider events can create duplicate alerts.</x:v>
      </x:c>
      <x:c r="E8" s="74" t="str">
        <x:v>Unique source_event_id + user_id; group noisy repeated events.</x:v>
      </x:c>
      <x:c r="F8" s="83" t="str">
        <x:v>P0</x:v>
      </x:c>
      <x:c r="G8" s="74" t="str">
        <x:v>MVP</x:v>
      </x:c>
      <x:c r="H8" s="74" t="str">
        <x:v>BE</x:v>
      </x:c>
      <x:c r="I8" s="74" t="str">
        <x:v>Duplicate/out-of-order webhook and retry</x:v>
      </x:c>
      <x:c r="J8" s="74" t="str">
        <x:v>Open</x:v>
      </x:c>
    </x:row>
    <x:row r="9">
      <x:c r="A9" s="101" t="str">
        <x:v>GAP-NOT-004</x:v>
      </x:c>
      <x:c r="B9" s="74" t="str">
        <x:v>Notification</x:v>
      </x:c>
      <x:c r="C9" s="74" t="str">
        <x:v>Preferences</x:v>
      </x:c>
      <x:c r="D9" s="74" t="str">
        <x:v>No event-category/channel preference model.</x:v>
      </x:c>
      <x:c r="E9" s="74" t="str">
        <x:v>Define mandatory vs optional categories and per-user preferences.</x:v>
      </x:c>
      <x:c r="F9" s="87" t="str">
        <x:v>P1</x:v>
      </x:c>
      <x:c r="G9" s="74" t="str">
        <x:v>MVP</x:v>
      </x:c>
      <x:c r="H9" s="74" t="str">
        <x:v>Product+BE</x:v>
      </x:c>
      <x:c r="I9" s="74" t="str">
        <x:v>Muted optional, mandatory critical, default preference migration</x:v>
      </x:c>
      <x:c r="J9" s="74" t="str">
        <x:v>Open</x:v>
      </x:c>
    </x:row>
    <x:row r="10">
      <x:c r="A10" s="101" t="str">
        <x:v>GAP-NOT-005</x:v>
      </x:c>
      <x:c r="B10" s="74" t="str">
        <x:v>Notification</x:v>
      </x:c>
      <x:c r="C10" s="74" t="str">
        <x:v>Action lifecycle</x:v>
      </x:c>
      <x:c r="D10" s="74" t="str">
        <x:v>Read state cannot represent resolved/expired action.</x:v>
      </x:c>
      <x:c r="E10" s="74" t="str">
        <x:v>Separate unread from open/resolved/expired and define action deadlines.</x:v>
      </x:c>
      <x:c r="F10" s="87" t="str">
        <x:v>P1</x:v>
      </x:c>
      <x:c r="G10" s="74" t="str">
        <x:v>P1</x:v>
      </x:c>
      <x:c r="H10" s="74" t="str">
        <x:v>Product+BE</x:v>
      </x:c>
      <x:c r="I10" s="74" t="str">
        <x:v>Read but unresolved, auto-resolve after campaign recovery</x:v>
      </x:c>
      <x:c r="J10" s="74" t="str">
        <x:v>Open</x:v>
      </x:c>
    </x:row>
    <x:row r="11">
      <x:c r="A11" s="101" t="str">
        <x:v>GAP-NOT-006</x:v>
      </x:c>
      <x:c r="B11" s="74" t="str">
        <x:v>Notification</x:v>
      </x:c>
      <x:c r="C11" s="74" t="str">
        <x:v>Localization</x:v>
      </x:c>
      <x:c r="D11" s="74" t="str">
        <x:v>Rendered message text would be hard to re-localize.</x:v>
      </x:c>
      <x:c r="E11" s="74" t="str">
        <x:v>Persist message_key and parameters; render safely in UI.</x:v>
      </x:c>
      <x:c r="F11" s="91" t="str">
        <x:v>P2</x:v>
      </x:c>
      <x:c r="G11" s="74" t="str">
        <x:v>P1</x:v>
      </x:c>
      <x:c r="H11" s="74" t="str">
        <x:v>FE+BE</x:v>
      </x:c>
      <x:c r="I11" s="74" t="str">
        <x:v>Locale switch, missing translation, unsafe parameter</x:v>
      </x:c>
      <x:c r="J11" s="74" t="str">
        <x:v>Open</x:v>
      </x:c>
    </x:row>
    <x:row r="12">
      <x:c r="A12" s="101" t="str">
        <x:v>GAP-RT-001</x:v>
      </x:c>
      <x:c r="B12" s="74" t="str">
        <x:v>Realtime</x:v>
      </x:c>
      <x:c r="C12" s="74" t="str">
        <x:v>Event envelope</x:v>
      </x:c>
      <x:c r="D12" s="74" t="str">
        <x:v>No common schema/version/cursor is defined.</x:v>
      </x:c>
      <x:c r="E12" s="74" t="str">
        <x:v>Define event_id, type, schema_version, occurred_at, channel, resource, payload and sequence.</x:v>
      </x:c>
      <x:c r="F12" s="83" t="str">
        <x:v>P0</x:v>
      </x:c>
      <x:c r="G12" s="74" t="str">
        <x:v>MVP</x:v>
      </x:c>
      <x:c r="H12" s="74" t="str">
        <x:v>Architect+BE</x:v>
      </x:c>
      <x:c r="I12" s="74" t="str">
        <x:v>Schema validation, unknown version, duplicate event</x:v>
      </x:c>
      <x:c r="J12" s="74" t="str">
        <x:v>Open</x:v>
      </x:c>
    </x:row>
    <x:row r="13">
      <x:c r="A13" s="101" t="str">
        <x:v>GAP-RT-002</x:v>
      </x:c>
      <x:c r="B13" s="74" t="str">
        <x:v>Realtime</x:v>
      </x:c>
      <x:c r="C13" s="74" t="str">
        <x:v>Reconnect and gap recovery</x:v>
      </x:c>
      <x:c r="D13" s="74" t="str">
        <x:v>No behavior after connection loss.</x:v>
      </x:c>
      <x:c r="E13" s="74" t="str">
        <x:v>Client resumes by cursor; server can emit resync_required; REST refetch remains authoritative.</x:v>
      </x:c>
      <x:c r="F13" s="83" t="str">
        <x:v>P0</x:v>
      </x:c>
      <x:c r="G13" s="74" t="str">
        <x:v>MVP</x:v>
      </x:c>
      <x:c r="H13" s="74" t="str">
        <x:v>FE+BE</x:v>
      </x:c>
      <x:c r="I13" s="74" t="str">
        <x:v>Offline 30s/30m, expired cursor, multi-tab</x:v>
      </x:c>
      <x:c r="J13" s="74" t="str">
        <x:v>Open</x:v>
      </x:c>
    </x:row>
    <x:row r="14">
      <x:c r="A14" s="101" t="str">
        <x:v>GAP-RT-003</x:v>
      </x:c>
      <x:c r="B14" s="74" t="str">
        <x:v>Realtime</x:v>
      </x:c>
      <x:c r="C14" s="74" t="str">
        <x:v>Socket authorization</x:v>
      </x:c>
      <x:c r="D14" s="74" t="str">
        <x:v>Channel membership and tenant isolation are not specified.</x:v>
      </x:c>
      <x:c r="E14" s="74" t="str">
        <x:v>Authenticate handshake and authorize every room join; evict on role/session changes.</x:v>
      </x:c>
      <x:c r="F14" s="83" t="str">
        <x:v>P0</x:v>
      </x:c>
      <x:c r="G14" s="74" t="str">
        <x:v>MVP</x:v>
      </x:c>
      <x:c r="H14" s="74" t="str">
        <x:v>Security+BE</x:v>
      </x:c>
      <x:c r="I14" s="74" t="str">
        <x:v>Cross-tenant room, expired session, revoked role</x:v>
      </x:c>
      <x:c r="J14" s="74" t="str">
        <x:v>Open</x:v>
      </x:c>
    </x:row>
    <x:row r="15">
      <x:c r="A15" s="101" t="str">
        <x:v>GAP-RT-004</x:v>
      </x:c>
      <x:c r="B15" s="74" t="str">
        <x:v>Realtime</x:v>
      </x:c>
      <x:c r="C15" s="74" t="str">
        <x:v>Event volume policy</x:v>
      </x:c>
      <x:c r="D15" s="74" t="str">
        <x:v>Per-recipient progress could overload gateway and UI.</x:v>
      </x:c>
      <x:c r="E15" s="74" t="str">
        <x:v>Publish aggregate progress &lt;=1/s or per 250 recipients; details remain queryable.</x:v>
      </x:c>
      <x:c r="F15" s="83" t="str">
        <x:v>P0</x:v>
      </x:c>
      <x:c r="G15" s="74" t="str">
        <x:v>MVP</x:v>
      </x:c>
      <x:c r="H15" s="74" t="str">
        <x:v>BE+SRE</x:v>
      </x:c>
      <x:c r="I15" s="74" t="str">
        <x:v>100k campaign event rate and browser CPU</x:v>
      </x:c>
      <x:c r="J15" s="74" t="str">
        <x:v>Open</x:v>
      </x:c>
    </x:row>
    <x:row r="16">
      <x:c r="A16" s="101" t="str">
        <x:v>GAP-RT-005</x:v>
      </x:c>
      <x:c r="B16" s="74" t="str">
        <x:v>Realtime</x:v>
      </x:c>
      <x:c r="C16" s="74" t="str">
        <x:v>Horizontal scaling</x:v>
      </x:c>
      <x:c r="D16" s="74" t="str">
        <x:v>Single-instance websocket behavior is insufficient.</x:v>
      </x:c>
      <x:c r="E16" s="74" t="str">
        <x:v>Use Socket.IO Redis adapter and sticky-session/load-balancer validation where required.</x:v>
      </x:c>
      <x:c r="F16" s="87" t="str">
        <x:v>P1</x:v>
      </x:c>
      <x:c r="G16" s="74" t="str">
        <x:v>MVP</x:v>
      </x:c>
      <x:c r="H16" s="74" t="str">
        <x:v>Platform</x:v>
      </x:c>
      <x:c r="I16" s="74" t="str">
        <x:v>Two gateway replicas, reconnect during rolling deploy</x:v>
      </x:c>
      <x:c r="J16" s="74" t="str">
        <x:v>Open</x:v>
      </x:c>
    </x:row>
    <x:row r="17">
      <x:c r="A17" s="101" t="str">
        <x:v>GAP-RT-006</x:v>
      </x:c>
      <x:c r="B17" s="74" t="str">
        <x:v>Realtime</x:v>
      </x:c>
      <x:c r="C17" s="74" t="str">
        <x:v>Backpressure</x:v>
      </x:c>
      <x:c r="D17" s="74" t="str">
        <x:v>Slow/disconnected clients are undefined.</x:v>
      </x:c>
      <x:c r="E17" s="74" t="str">
        <x:v>Bound buffers, drop superseded progress events and force resync rather than unbounded queueing.</x:v>
      </x:c>
      <x:c r="F17" s="87" t="str">
        <x:v>P1</x:v>
      </x:c>
      <x:c r="G17" s="74" t="str">
        <x:v>MVP</x:v>
      </x:c>
      <x:c r="H17" s="74" t="str">
        <x:v>BE</x:v>
      </x:c>
      <x:c r="I17" s="74" t="str">
        <x:v>Slow client, burst, memory ceiling</x:v>
      </x:c>
      <x:c r="J17" s="74" t="str">
        <x:v>Open</x:v>
      </x:c>
    </x:row>
    <x:row r="18">
      <x:c r="A18" s="101" t="str">
        <x:v>GAP-ORG-001</x:v>
      </x:c>
      <x:c r="B18" s="74" t="str">
        <x:v>Organization &amp; users</x:v>
      </x:c>
      <x:c r="C18" s="74" t="str">
        <x:v>User administration</x:v>
      </x:c>
      <x:c r="D18" s="74" t="str">
        <x:v>Only three roles are named; invite/disable/remove flows are absent.</x:v>
      </x:c>
      <x:c r="E18" s="74" t="str">
        <x:v>Add invite, accept, resend, expire, disable, remove and session revocation rules.</x:v>
      </x:c>
      <x:c r="F18" s="83" t="str">
        <x:v>P0</x:v>
      </x:c>
      <x:c r="G18" s="74" t="str">
        <x:v>MVP</x:v>
      </x:c>
      <x:c r="H18" s="74" t="str">
        <x:v>Product+BE</x:v>
      </x:c>
      <x:c r="I18" s="74" t="str">
        <x:v>Invite lifecycle, disabled user, last admin</x:v>
      </x:c>
      <x:c r="J18" s="74" t="str">
        <x:v>Open</x:v>
      </x:c>
    </x:row>
    <x:row r="19">
      <x:c r="A19" s="101" t="str">
        <x:v>GAP-ORG-002</x:v>
      </x:c>
      <x:c r="B19" s="74" t="str">
        <x:v>Organization &amp; users</x:v>
      </x:c>
      <x:c r="C19" s="74" t="str">
        <x:v>Custom permissions</x:v>
      </x:c>
      <x:c r="D19" s="74" t="str">
        <x:v>Fixed roles may not cover sender/template/audience separation.</x:v>
      </x:c>
      <x:c r="E19" s="74" t="str">
        <x:v>Define permission matrix now; keep custom roles as P1 if not MVP.</x:v>
      </x:c>
      <x:c r="F19" s="87" t="str">
        <x:v>P1</x:v>
      </x:c>
      <x:c r="G19" s="74" t="str">
        <x:v>MVP</x:v>
      </x:c>
      <x:c r="H19" s="74" t="str">
        <x:v>Product+Security</x:v>
      </x:c>
      <x:c r="I19" s="74" t="str">
        <x:v>Endpoint/action matrix for each role</x:v>
      </x:c>
      <x:c r="J19" s="74" t="str">
        <x:v>Open</x:v>
      </x:c>
    </x:row>
    <x:row r="20">
      <x:c r="A20" s="101" t="str">
        <x:v>GAP-ORG-003</x:v>
      </x:c>
      <x:c r="B20" s="74" t="str">
        <x:v>Organization &amp; users</x:v>
      </x:c>
      <x:c r="C20" s="74" t="str">
        <x:v>Ownership</x:v>
      </x:c>
      <x:c r="D20" s="74" t="str">
        <x:v>Campaign/template/list ownership and reassignment are absent.</x:v>
      </x:c>
      <x:c r="E20" s="74" t="str">
        <x:v>Store owner_id and define reassignment when user is disabled.</x:v>
      </x:c>
      <x:c r="F20" s="87" t="str">
        <x:v>P1</x:v>
      </x:c>
      <x:c r="G20" s="74" t="str">
        <x:v>MVP</x:v>
      </x:c>
      <x:c r="H20" s="74" t="str">
        <x:v>Product+BE</x:v>
      </x:c>
      <x:c r="I20" s="74" t="str">
        <x:v>Disable owner with drafts/schedules</x:v>
      </x:c>
      <x:c r="J20" s="74" t="str">
        <x:v>Open</x:v>
      </x:c>
    </x:row>
    <x:row r="21">
      <x:c r="A21" s="101" t="str">
        <x:v>GAP-ORG-004</x:v>
      </x:c>
      <x:c r="B21" s="74" t="str">
        <x:v>Organization &amp; users</x:v>
      </x:c>
      <x:c r="C21" s="74" t="str">
        <x:v>Tenant bootstrap</x:v>
      </x:c>
      <x:c r="D21" s="74" t="str">
        <x:v>Creation/default settings/first admin are undefined.</x:v>
      </x:c>
      <x:c r="E21" s="74" t="str">
        <x:v>Define organization provisioning, default timezone, retention and quotas.</x:v>
      </x:c>
      <x:c r="F21" s="87" t="str">
        <x:v>P1</x:v>
      </x:c>
      <x:c r="G21" s="74" t="str">
        <x:v>MVP</x:v>
      </x:c>
      <x:c r="H21" s="74" t="str">
        <x:v>BE+Platform</x:v>
      </x:c>
      <x:c r="I21" s="74" t="str">
        <x:v>Provision rollback, duplicate org slug</x:v>
      </x:c>
      <x:c r="J21" s="74" t="str">
        <x:v>Open</x:v>
      </x:c>
    </x:row>
    <x:row r="22">
      <x:c r="A22" s="101" t="str">
        <x:v>GAP-ORG-005</x:v>
      </x:c>
      <x:c r="B22" s="74" t="str">
        <x:v>Organization &amp; users</x:v>
      </x:c>
      <x:c r="C22" s="74" t="str">
        <x:v>Session inventory</x:v>
      </x:c>
      <x:c r="D22" s="74" t="str">
        <x:v>User cannot see/revoke active sessions.</x:v>
      </x:c>
      <x:c r="E22" s="74" t="str">
        <x:v>Add device/session list and revoke-all-except-current.</x:v>
      </x:c>
      <x:c r="F22" s="91" t="str">
        <x:v>P2</x:v>
      </x:c>
      <x:c r="G22" s="74" t="str">
        <x:v>P1</x:v>
      </x:c>
      <x:c r="H22" s="74" t="str">
        <x:v>Security+BE</x:v>
      </x:c>
      <x:c r="I22" s="74" t="str">
        <x:v>Revoke current/other sessions</x:v>
      </x:c>
      <x:c r="J22" s="74" t="str">
        <x:v>Open</x:v>
      </x:c>
    </x:row>
    <x:row r="23">
      <x:c r="A23" s="101" t="str">
        <x:v>GAP-ORG-006</x:v>
      </x:c>
      <x:c r="B23" s="74" t="str">
        <x:v>Organization &amp; users</x:v>
      </x:c>
      <x:c r="C23" s="74" t="str">
        <x:v>MFA/SSO roadmap</x:v>
      </x:c>
      <x:c r="D23" s="74" t="str">
        <x:v>Enterprise authentication requirements are not decided.</x:v>
      </x:c>
      <x:c r="E23" s="74" t="str">
        <x:v>Record MFA as P1 and OIDC/SAML as future ADR; do not bake local auth assumptions into domain.</x:v>
      </x:c>
      <x:c r="F23" s="87" t="str">
        <x:v>P1</x:v>
      </x:c>
      <x:c r="G23" s="74" t="str">
        <x:v>P1</x:v>
      </x:c>
      <x:c r="H23" s="74" t="str">
        <x:v>Security+Architect</x:v>
      </x:c>
      <x:c r="I23" s="74" t="str">
        <x:v>MFA recovery, SSO role mapping</x:v>
      </x:c>
      <x:c r="J23" s="74" t="str">
        <x:v>Open</x:v>
      </x:c>
    </x:row>
    <x:row r="24">
      <x:c r="A24" s="101" t="str">
        <x:v>GAP-COL-001</x:v>
      </x:c>
      <x:c r="B24" s="74" t="str">
        <x:v>Collaboration &amp; approval</x:v>
      </x:c>
      <x:c r="C24" s="74" t="str">
        <x:v>Approval workflow</x:v>
      </x:c>
      <x:c r="D24" s="74" t="str">
        <x:v>An Operator can potentially schedule large campaigns without approval.</x:v>
      </x:c>
      <x:c r="E24" s="74" t="str">
        <x:v>Optional approval policy by audience size/sender; states draft/in_review/approved/rejected.</x:v>
      </x:c>
      <x:c r="F24" s="87" t="str">
        <x:v>P1</x:v>
      </x:c>
      <x:c r="G24" s="74" t="str">
        <x:v>P1</x:v>
      </x:c>
      <x:c r="H24" s="74" t="str">
        <x:v>Product</x:v>
      </x:c>
      <x:c r="I24" s="74" t="str">
        <x:v>Self-approval forbidden, approval invalidated by edit</x:v>
      </x:c>
      <x:c r="J24" s="74" t="str">
        <x:v>Open</x:v>
      </x:c>
    </x:row>
    <x:row r="25">
      <x:c r="A25" s="101" t="str">
        <x:v>GAP-COL-002</x:v>
      </x:c>
      <x:c r="B25" s="74" t="str">
        <x:v>Collaboration &amp; approval</x:v>
      </x:c>
      <x:c r="C25" s="74" t="str">
        <x:v>Optimistic concurrency UI</x:v>
      </x:c>
      <x:c r="D25" s="74" t="str">
        <x:v>Draft concurrency rule lacks conflict resolution UX.</x:v>
      </x:c>
      <x:c r="E25" s="74" t="str">
        <x:v>Use version/ETag, show conflict diff and preserve local changes.</x:v>
      </x:c>
      <x:c r="F25" s="87" t="str">
        <x:v>P1</x:v>
      </x:c>
      <x:c r="G25" s="74" t="str">
        <x:v>MVP</x:v>
      </x:c>
      <x:c r="H25" s="74" t="str">
        <x:v>FE+BE</x:v>
      </x:c>
      <x:c r="I25" s="74" t="str">
        <x:v>Two tabs edit same draft</x:v>
      </x:c>
      <x:c r="J25" s="74" t="str">
        <x:v>Open</x:v>
      </x:c>
    </x:row>
    <x:row r="26">
      <x:c r="A26" s="101" t="str">
        <x:v>GAP-COL-003</x:v>
      </x:c>
      <x:c r="B26" s="74" t="str">
        <x:v>Collaboration &amp; approval</x:v>
      </x:c>
      <x:c r="C26" s="74" t="str">
        <x:v>Comments/mentions</x:v>
      </x:c>
      <x:c r="D26" s="74" t="str">
        <x:v>No review discussion attached to campaign/template.</x:v>
      </x:c>
      <x:c r="E26" s="74" t="str">
        <x:v>Add comments/mentions only if approval is enabled; mentions create notifications.</x:v>
      </x:c>
      <x:c r="F26" s="91" t="str">
        <x:v>P2</x:v>
      </x:c>
      <x:c r="G26" s="74" t="str">
        <x:v>P2</x:v>
      </x:c>
      <x:c r="H26" s="74" t="str">
        <x:v>Product</x:v>
      </x:c>
      <x:c r="I26" s="74" t="str">
        <x:v>Mention permission and deleted user</x:v>
      </x:c>
      <x:c r="J26" s="74" t="str">
        <x:v>Open</x:v>
      </x:c>
    </x:row>
    <x:row r="27">
      <x:c r="A27" s="101" t="str">
        <x:v>GAP-COL-004</x:v>
      </x:c>
      <x:c r="B27" s="74" t="str">
        <x:v>Collaboration &amp; approval</x:v>
      </x:c>
      <x:c r="C27" s="74" t="str">
        <x:v>Change summary</x:v>
      </x:c>
      <x:c r="D27" s="74" t="str">
        <x:v>Reviewer cannot see what changed since approval request.</x:v>
      </x:c>
      <x:c r="E27" s="74" t="str">
        <x:v>Store draft revision metadata and render field-level summary.</x:v>
      </x:c>
      <x:c r="F27" s="91" t="str">
        <x:v>P2</x:v>
      </x:c>
      <x:c r="G27" s="74" t="str">
        <x:v>P1</x:v>
      </x:c>
      <x:c r="H27" s="74" t="str">
        <x:v>BE+FE</x:v>
      </x:c>
      <x:c r="I27" s="74" t="str">
        <x:v>Template/audience/schedule changed</x:v>
      </x:c>
      <x:c r="J27" s="74" t="str">
        <x:v>Open</x:v>
      </x:c>
    </x:row>
    <x:row r="28">
      <x:c r="A28" s="101" t="str">
        <x:v>GAP-CMP-001</x:v>
      </x:c>
      <x:c r="B28" s="74" t="str">
        <x:v>Campaign lifecycle</x:v>
      </x:c>
      <x:c r="C28" s="74" t="str">
        <x:v>Clone campaign</x:v>
      </x:c>
      <x:c r="D28" s="74" t="str">
        <x:v>No reusable copy flow for a past campaign.</x:v>
      </x:c>
      <x:c r="E28" s="74" t="str">
        <x:v>Clone content/settings into new draft without copying historical snapshot or stats.</x:v>
      </x:c>
      <x:c r="F28" s="87" t="str">
        <x:v>P1</x:v>
      </x:c>
      <x:c r="G28" s="74" t="str">
        <x:v>MVP</x:v>
      </x:c>
      <x:c r="H28" s="74" t="str">
        <x:v>Product+BE</x:v>
      </x:c>
      <x:c r="I28" s="74" t="str">
        <x:v>Clone completed/scheduled campaign</x:v>
      </x:c>
      <x:c r="J28" s="74" t="str">
        <x:v>Open</x:v>
      </x:c>
    </x:row>
    <x:row r="29">
      <x:c r="A29" s="101" t="str">
        <x:v>GAP-CMP-002</x:v>
      </x:c>
      <x:c r="B29" s="74" t="str">
        <x:v>Campaign lifecycle</x:v>
      </x:c>
      <x:c r="C29" s="74" t="str">
        <x:v>Archive/delete draft</x:v>
      </x:c>
      <x:c r="D29" s="74" t="str">
        <x:v>Lifecycle after abandonment is unclear.</x:v>
      </x:c>
      <x:c r="E29" s="74" t="str">
        <x:v>Allow archive/soft-delete draft; sent campaigns remain immutable.</x:v>
      </x:c>
      <x:c r="F29" s="87" t="str">
        <x:v>P1</x:v>
      </x:c>
      <x:c r="G29" s="74" t="str">
        <x:v>MVP</x:v>
      </x:c>
      <x:c r="H29" s="74" t="str">
        <x:v>Product+BE</x:v>
      </x:c>
      <x:c r="I29" s="74" t="str">
        <x:v>Archive scheduled/sending blocked</x:v>
      </x:c>
      <x:c r="J29" s="74" t="str">
        <x:v>Open</x:v>
      </x:c>
    </x:row>
    <x:row r="30">
      <x:c r="A30" s="101" t="str">
        <x:v>GAP-CMP-003</x:v>
      </x:c>
      <x:c r="B30" s="74" t="str">
        <x:v>Campaign lifecycle</x:v>
      </x:c>
      <x:c r="C30" s="74" t="str">
        <x:v>Resend strategy</x:v>
      </x:c>
      <x:c r="D30" s="74" t="str">
        <x:v>Resend to failed/non-openers is undefined and can duplicate recipients.</x:v>
      </x:c>
      <x:c r="E30" s="74" t="str">
        <x:v>Create a new child campaign with explicit audience derivation and suppression checks.</x:v>
      </x:c>
      <x:c r="F30" s="87" t="str">
        <x:v>P1</x:v>
      </x:c>
      <x:c r="G30" s="74" t="str">
        <x:v>P1</x:v>
      </x:c>
      <x:c r="H30" s="74" t="str">
        <x:v>Product+BE</x:v>
      </x:c>
      <x:c r="I30" s="74" t="str">
        <x:v>Resend failed only, unsubscribed since original</x:v>
      </x:c>
      <x:c r="J30" s="74" t="str">
        <x:v>Open</x:v>
      </x:c>
    </x:row>
    <x:row r="31">
      <x:c r="A31" s="101" t="str">
        <x:v>GAP-CMP-004</x:v>
      </x:c>
      <x:c r="B31" s="74" t="str">
        <x:v>Campaign lifecycle</x:v>
      </x:c>
      <x:c r="C31" s="74" t="str">
        <x:v>Preflight checklist</x:v>
      </x:c>
      <x:c r="D31" s="74" t="str">
        <x:v>Review lacks sender/domain/quota/link/content checks.</x:v>
      </x:c>
      <x:c r="E31" s="74" t="str">
        <x:v>Create server-side preflight result with blocking errors and warnings.</x:v>
      </x:c>
      <x:c r="F31" s="83" t="str">
        <x:v>P0</x:v>
      </x:c>
      <x:c r="G31" s="74" t="str">
        <x:v>MVP</x:v>
      </x:c>
      <x:c r="H31" s="74" t="str">
        <x:v>BE+Product</x:v>
      </x:c>
      <x:c r="I31" s="74" t="str">
        <x:v>Expired sender, quota, broken URL, missing text</x:v>
      </x:c>
      <x:c r="J31" s="74" t="str">
        <x:v>Open</x:v>
      </x:c>
    </x:row>
    <x:row r="32">
      <x:c r="A32" s="101" t="str">
        <x:v>GAP-CMP-005</x:v>
      </x:c>
      <x:c r="B32" s="74" t="str">
        <x:v>Campaign lifecycle</x:v>
      </x:c>
      <x:c r="C32" s="74" t="str">
        <x:v>Test-send safety</x:v>
      </x:c>
      <x:c r="D32" s="74" t="str">
        <x:v>Test email destination policy is only partially defined.</x:v>
      </x:c>
      <x:c r="E32" s="74" t="str">
        <x:v>Restrict domains/allowlist as configured; watermark and exclude from analytics.</x:v>
      </x:c>
      <x:c r="F32" s="87" t="str">
        <x:v>P1</x:v>
      </x:c>
      <x:c r="G32" s="74" t="str">
        <x:v>MVP</x:v>
      </x:c>
      <x:c r="H32" s="74" t="str">
        <x:v>Security+BE</x:v>
      </x:c>
      <x:c r="I32" s="74" t="str">
        <x:v>Unauthorized destination, provider failure</x:v>
      </x:c>
      <x:c r="J32" s="74" t="str">
        <x:v>Open</x:v>
      </x:c>
    </x:row>
    <x:row r="33">
      <x:c r="A33" s="101" t="str">
        <x:v>GAP-CMP-006</x:v>
      </x:c>
      <x:c r="B33" s="74" t="str">
        <x:v>Campaign lifecycle</x:v>
      </x:c>
      <x:c r="C33" s="74" t="str">
        <x:v>Cancellation semantics</x:v>
      </x:c>
      <x:c r="D33" s="74" t="str">
        <x:v>Cancel does not define in-flight provider submissions.</x:v>
      </x:c>
      <x:c r="E33" s="74" t="str">
        <x:v>Stop enqueueing new messages; mark already accepted messages as non-recallable; show cutoff counts.</x:v>
      </x:c>
      <x:c r="F33" s="83" t="str">
        <x:v>P0</x:v>
      </x:c>
      <x:c r="G33" s="74" t="str">
        <x:v>MVP</x:v>
      </x:c>
      <x:c r="H33" s="74" t="str">
        <x:v>BE+Product</x:v>
      </x:c>
      <x:c r="I33" s="74" t="str">
        <x:v>Cancel during burst and reconciliation</x:v>
      </x:c>
      <x:c r="J33" s="74" t="str">
        <x:v>Open</x:v>
      </x:c>
    </x:row>
    <x:row r="34">
      <x:c r="A34" s="101" t="str">
        <x:v>GAP-CMP-007</x:v>
      </x:c>
      <x:c r="B34" s="74" t="str">
        <x:v>Campaign lifecycle</x:v>
      </x:c>
      <x:c r="C34" s="74" t="str">
        <x:v>Pause reason</x:v>
      </x:c>
      <x:c r="D34" s="74" t="str">
        <x:v>Pause/resume has no reason/authorization/audit contract.</x:v>
      </x:c>
      <x:c r="E34" s="74" t="str">
        <x:v>Require reason for manual pause and record automatic pause threshold.</x:v>
      </x:c>
      <x:c r="F34" s="87" t="str">
        <x:v>P1</x:v>
      </x:c>
      <x:c r="G34" s="74" t="str">
        <x:v>MVP</x:v>
      </x:c>
      <x:c r="H34" s="74" t="str">
        <x:v>BE+FE</x:v>
      </x:c>
      <x:c r="I34" s="74" t="str">
        <x:v>Auto pause, manual resume without permission</x:v>
      </x:c>
      <x:c r="J34" s="74" t="str">
        <x:v>Open</x:v>
      </x:c>
    </x:row>
    <x:row r="35">
      <x:c r="A35" s="101" t="str">
        <x:v>GAP-CMP-008</x:v>
      </x:c>
      <x:c r="B35" s="74" t="str">
        <x:v>Campaign lifecycle</x:v>
      </x:c>
      <x:c r="C35" s="74" t="str">
        <x:v>Priority/fairness</x:v>
      </x:c>
      <x:c r="D35" s="74" t="str">
        <x:v>Multiple tenants/campaigns can starve the queue.</x:v>
      </x:c>
      <x:c r="E35" s="74" t="str">
        <x:v>Define per-tenant concurrency, campaign priority and fair scheduling.</x:v>
      </x:c>
      <x:c r="F35" s="83" t="str">
        <x:v>P0</x:v>
      </x:c>
      <x:c r="G35" s="74" t="str">
        <x:v>MVP</x:v>
      </x:c>
      <x:c r="H35" s="74" t="str">
        <x:v>Architect+SRE</x:v>
      </x:c>
      <x:c r="I35" s="74" t="str">
        <x:v>Two tenants with 100k vs 100 recipients</x:v>
      </x:c>
      <x:c r="J35" s="74" t="str">
        <x:v>Open</x:v>
      </x:c>
    </x:row>
    <x:row r="36">
      <x:c r="A36" s="101" t="str">
        <x:v>GAP-AUD-001</x:v>
      </x:c>
      <x:c r="B36" s="74" t="str">
        <x:v>Audience &amp; variables</x:v>
      </x:c>
      <x:c r="C36" s="74" t="str">
        <x:v>Audience estimate expiry</x:v>
      </x:c>
      <x:c r="D36" s="74" t="str">
        <x:v>Preview may become stale before confirmation.</x:v>
      </x:c>
      <x:c r="E36" s="74" t="str">
        <x:v>Attach audience_hash, generated_at and expiry; revalidate on confirm.</x:v>
      </x:c>
      <x:c r="F36" s="83" t="str">
        <x:v>P0</x:v>
      </x:c>
      <x:c r="G36" s="74" t="str">
        <x:v>MVP</x:v>
      </x:c>
      <x:c r="H36" s="74" t="str">
        <x:v>BE</x:v>
      </x:c>
      <x:c r="I36" s="74" t="str">
        <x:v>Segment changes between preview and confirm</x:v>
      </x:c>
      <x:c r="J36" s="74" t="str">
        <x:v>Open</x:v>
      </x:c>
    </x:row>
    <x:row r="37">
      <x:c r="A37" s="101" t="str">
        <x:v>GAP-AUD-002</x:v>
      </x:c>
      <x:c r="B37" s="74" t="str">
        <x:v>Audience &amp; variables</x:v>
      </x:c>
      <x:c r="C37" s="74" t="str">
        <x:v>Large missing-data repair</x:v>
      </x:c>
      <x:c r="D37" s="74" t="str">
        <x:v>Bulk custom-data update exists but no campaign-linked repair workflow.</x:v>
      </x:c>
      <x:c r="E37" s="74" t="str">
        <x:v>From missing-variable report, launch scoped bulk update and rerun validation.</x:v>
      </x:c>
      <x:c r="F37" s="83" t="str">
        <x:v>P0</x:v>
      </x:c>
      <x:c r="G37" s="74" t="str">
        <x:v>MVP</x:v>
      </x:c>
      <x:c r="H37" s="74" t="str">
        <x:v>Product+FE+BE</x:v>
      </x:c>
      <x:c r="I37" s="74" t="str">
        <x:v>Repair 10k recipients, partial errors</x:v>
      </x:c>
      <x:c r="J37" s="74" t="str">
        <x:v>Open</x:v>
      </x:c>
    </x:row>
    <x:row r="38">
      <x:c r="A38" s="101" t="str">
        <x:v>GAP-AUD-003</x:v>
      </x:c>
      <x:c r="B38" s="74" t="str">
        <x:v>Audience &amp; variables</x:v>
      </x:c>
      <x:c r="C38" s="74" t="str">
        <x:v>Default-value governance</x:v>
      </x:c>
      <x:c r="D38" s="74" t="str">
        <x:v>Defaults can hide poor data quality.</x:v>
      </x:c>
      <x:c r="E38" s="74" t="str">
        <x:v>Show how many recipients use default; allow policy threshold/block.</x:v>
      </x:c>
      <x:c r="F38" s="87" t="str">
        <x:v>P1</x:v>
      </x:c>
      <x:c r="G38" s="74" t="str">
        <x:v>P1</x:v>
      </x:c>
      <x:c r="H38" s="74" t="str">
        <x:v>Product</x:v>
      </x:c>
      <x:c r="I38" s="74" t="str">
        <x:v>0/10/100 percent default usage</x:v>
      </x:c>
      <x:c r="J38" s="74" t="str">
        <x:v>Open</x:v>
      </x:c>
    </x:row>
    <x:row r="39">
      <x:c r="A39" s="101" t="str">
        <x:v>GAP-AUD-004</x:v>
      </x:c>
      <x:c r="B39" s="74" t="str">
        <x:v>Audience &amp; variables</x:v>
      </x:c>
      <x:c r="C39" s="74" t="str">
        <x:v>Variable formatting</x:v>
      </x:c>
      <x:c r="D39" s="74" t="str">
        <x:v>Date/number/enum formatting per locale is not defined.</x:v>
      </x:c>
      <x:c r="E39" s="74" t="str">
        <x:v>Add safe formatter metadata to schema, not arbitrary template code.</x:v>
      </x:c>
      <x:c r="F39" s="87" t="str">
        <x:v>P1</x:v>
      </x:c>
      <x:c r="G39" s="74" t="str">
        <x:v>P1</x:v>
      </x:c>
      <x:c r="H39" s="74" t="str">
        <x:v>BE+Product</x:v>
      </x:c>
      <x:c r="I39" s="74" t="str">
        <x:v>Timezone/date/decimal locales</x:v>
      </x:c>
      <x:c r="J39" s="74" t="str">
        <x:v>Open</x:v>
      </x:c>
    </x:row>
    <x:row r="40">
      <x:c r="A40" s="101" t="str">
        <x:v>GAP-AUD-005</x:v>
      </x:c>
      <x:c r="B40" s="74" t="str">
        <x:v>Audience &amp; variables</x:v>
      </x:c>
      <x:c r="C40" s="74" t="str">
        <x:v>Custom-field schema evolution</x:v>
      </x:c>
      <x:c r="D40" s="74" t="str">
        <x:v>Deleting/renaming a field used by template can break future sends.</x:v>
      </x:c>
      <x:c r="E40" s="74" t="str">
        <x:v>Dependency check and deprecation state; block delete while referenced.</x:v>
      </x:c>
      <x:c r="F40" s="83" t="str">
        <x:v>P0</x:v>
      </x:c>
      <x:c r="G40" s="74" t="str">
        <x:v>MVP</x:v>
      </x:c>
      <x:c r="H40" s="74" t="str">
        <x:v>BE</x:v>
      </x:c>
      <x:c r="I40" s="74" t="str">
        <x:v>Delete referenced field and archived template</x:v>
      </x:c>
      <x:c r="J40" s="74" t="str">
        <x:v>Open</x:v>
      </x:c>
    </x:row>
    <x:row r="41">
      <x:c r="A41" s="101" t="str">
        <x:v>GAP-AUD-006</x:v>
      </x:c>
      <x:c r="B41" s="74" t="str">
        <x:v>Audience &amp; variables</x:v>
      </x:c>
      <x:c r="C41" s="74" t="str">
        <x:v>Selection token TTL</x:v>
      </x:c>
      <x:c r="D41" s="74" t="str">
        <x:v>Bulk scope snapshot token lifetime is not specified.</x:v>
      </x:c>
      <x:c r="E41" s="74" t="str">
        <x:v>Signed selection token with tenant/user/query hash, TTL and one-time confirmation semantics.</x:v>
      </x:c>
      <x:c r="F41" s="83" t="str">
        <x:v>P0</x:v>
      </x:c>
      <x:c r="G41" s="74" t="str">
        <x:v>MVP</x:v>
      </x:c>
      <x:c r="H41" s="74" t="str">
        <x:v>Security+BE</x:v>
      </x:c>
      <x:c r="I41" s="74" t="str">
        <x:v>Expired/tampered token</x:v>
      </x:c>
      <x:c r="J41" s="74" t="str">
        <x:v>Open</x:v>
      </x:c>
    </x:row>
    <x:row r="42">
      <x:c r="A42" s="101" t="str">
        <x:v>GAP-IMP-001</x:v>
      </x:c>
      <x:c r="B42" s="74" t="str">
        <x:v>Import/export</x:v>
      </x:c>
      <x:c r="C42" s="74" t="str">
        <x:v>Encoding/delimiter</x:v>
      </x:c>
      <x:c r="D42" s="74" t="str">
        <x:v>CSV encoding, BOM and delimiter detection are absent.</x:v>
      </x:c>
      <x:c r="E42" s="74" t="str">
        <x:v>Support UTF-8/BOM, configurable delimiter and explicit error for unsupported encoding.</x:v>
      </x:c>
      <x:c r="F42" s="87" t="str">
        <x:v>P1</x:v>
      </x:c>
      <x:c r="G42" s="74" t="str">
        <x:v>MVP</x:v>
      </x:c>
      <x:c r="H42" s="74" t="str">
        <x:v>BE</x:v>
      </x:c>
      <x:c r="I42" s="74" t="str">
        <x:v>Vietnamese Unicode, semicolon CSV</x:v>
      </x:c>
      <x:c r="J42" s="74" t="str">
        <x:v>Open</x:v>
      </x:c>
    </x:row>
    <x:row r="43">
      <x:c r="A43" s="101" t="str">
        <x:v>GAP-IMP-002</x:v>
      </x:c>
      <x:c r="B43" s="74" t="str">
        <x:v>Import/export</x:v>
      </x:c>
      <x:c r="C43" s="74" t="str">
        <x:v>Formula/zip bomb safety</x:v>
      </x:c>
      <x:c r="D43" s="74" t="str">
        <x:v>XLSX parser security limits are not defined.</x:v>
      </x:c>
      <x:c r="E43" s="74" t="str">
        <x:v>Limit uncompressed size, sheets, cells and formulas; never execute formulas/macros.</x:v>
      </x:c>
      <x:c r="F43" s="83" t="str">
        <x:v>P0</x:v>
      </x:c>
      <x:c r="G43" s="74" t="str">
        <x:v>MVP</x:v>
      </x:c>
      <x:c r="H43" s="74" t="str">
        <x:v>Security+BE</x:v>
      </x:c>
      <x:c r="I43" s="74" t="str">
        <x:v>Zip bomb, macro file, external link</x:v>
      </x:c>
      <x:c r="J43" s="74" t="str">
        <x:v>Open</x:v>
      </x:c>
    </x:row>
    <x:row r="44">
      <x:c r="A44" s="101" t="str">
        <x:v>GAP-IMP-003</x:v>
      </x:c>
      <x:c r="B44" s="74" t="str">
        <x:v>Import/export</x:v>
      </x:c>
      <x:c r="C44" s="74" t="str">
        <x:v>Dry-run persistence</x:v>
      </x:c>
      <x:c r="D44" s="74" t="str">
        <x:v>Mapping/preview cannot be reused or audited.</x:v>
      </x:c>
      <x:c r="E44" s="74" t="str">
        <x:v>Persist import draft, mapping and file fingerprint until expiration.</x:v>
      </x:c>
      <x:c r="F44" s="87" t="str">
        <x:v>P1</x:v>
      </x:c>
      <x:c r="G44" s="74" t="str">
        <x:v>P1</x:v>
      </x:c>
      <x:c r="H44" s="74" t="str">
        <x:v>BE</x:v>
      </x:c>
      <x:c r="I44" s="74" t="str">
        <x:v>Resume draft, file changed</x:v>
      </x:c>
      <x:c r="J44" s="74" t="str">
        <x:v>Open</x:v>
      </x:c>
    </x:row>
    <x:row r="45">
      <x:c r="A45" s="101" t="str">
        <x:v>GAP-IMP-004</x:v>
      </x:c>
      <x:c r="B45" s="74" t="str">
        <x:v>Import/export</x:v>
      </x:c>
      <x:c r="C45" s="74" t="str">
        <x:v>Export privacy</x:v>
      </x:c>
      <x:c r="D45" s="74" t="str">
        <x:v>Exports lack role/field masking/expiry rules.</x:v>
      </x:c>
      <x:c r="E45" s="74" t="str">
        <x:v>Authorize fields, audit download, signed short-lived URL and retention deletion.</x:v>
      </x:c>
      <x:c r="F45" s="83" t="str">
        <x:v>P0</x:v>
      </x:c>
      <x:c r="G45" s="74" t="str">
        <x:v>MVP</x:v>
      </x:c>
      <x:c r="H45" s="74" t="str">
        <x:v>Security+BE</x:v>
      </x:c>
      <x:c r="I45" s="74" t="str">
        <x:v>Viewer export, expired link, deleted job</x:v>
      </x:c>
      <x:c r="J45" s="74" t="str">
        <x:v>Open</x:v>
      </x:c>
    </x:row>
    <x:row r="46">
      <x:c r="A46" s="101" t="str">
        <x:v>GAP-TPL-001</x:v>
      </x:c>
      <x:c r="B46" s="74" t="str">
        <x:v>Template/editor</x:v>
      </x:c>
      <x:c r="C46" s="74" t="str">
        <x:v>Editor decision</x:v>
      </x:c>
      <x:c r="D46" s="74" t="str">
        <x:v>No supported visual editor and canonical storage format are selected.</x:v>
      </x:c>
      <x:c r="E46" s="74" t="str">
        <x:v>Spike GrapesJS; store canonical sanitized HTML/text plus optional editor JSON.</x:v>
      </x:c>
      <x:c r="F46" s="87" t="str">
        <x:v>P1</x:v>
      </x:c>
      <x:c r="G46" s="74" t="str">
        <x:v>MVP</x:v>
      </x:c>
      <x:c r="H46" s="74" t="str">
        <x:v>Architect+FE</x:v>
      </x:c>
      <x:c r="I46" s="74" t="str">
        <x:v>Round-trip, responsive output, undo/redo</x:v>
      </x:c>
      <x:c r="J46" s="74" t="str">
        <x:v>Open</x:v>
      </x:c>
    </x:row>
    <x:row r="47">
      <x:c r="A47" s="101" t="str">
        <x:v>GAP-TPL-002</x:v>
      </x:c>
      <x:c r="B47" s="74" t="str">
        <x:v>Template/editor</x:v>
      </x:c>
      <x:c r="C47" s="74" t="str">
        <x:v>Content lint</x:v>
      </x:c>
      <x:c r="D47" s="74" t="str">
        <x:v>No broken link/image, size or accessibility checks.</x:v>
      </x:c>
      <x:c r="E47" s="74" t="str">
        <x:v>Add preflight lint with severity and actionable locations.</x:v>
      </x:c>
      <x:c r="F47" s="87" t="str">
        <x:v>P1</x:v>
      </x:c>
      <x:c r="G47" s="74" t="str">
        <x:v>MVP</x:v>
      </x:c>
      <x:c r="H47" s="74" t="str">
        <x:v>BE+FE</x:v>
      </x:c>
      <x:c r="I47" s="74" t="str">
        <x:v>Bad URL, missing alt, oversized HTML</x:v>
      </x:c>
      <x:c r="J47" s="74" t="str">
        <x:v>Open</x:v>
      </x:c>
    </x:row>
    <x:row r="48">
      <x:c r="A48" s="101" t="str">
        <x:v>GAP-TPL-003</x:v>
      </x:c>
      <x:c r="B48" s="74" t="str">
        <x:v>Template/editor</x:v>
      </x:c>
      <x:c r="C48" s="74" t="str">
        <x:v>Asset lifecycle</x:v>
      </x:c>
      <x:c r="D48" s="74" t="str">
        <x:v>Replacing/deleting images used by published versions is undefined.</x:v>
      </x:c>
      <x:c r="E48" s="74" t="str">
        <x:v>Immutable asset versions or reference-aware deletion; signed upload and malware scan.</x:v>
      </x:c>
      <x:c r="F48" s="83" t="str">
        <x:v>P0</x:v>
      </x:c>
      <x:c r="G48" s="74" t="str">
        <x:v>MVP</x:v>
      </x:c>
      <x:c r="H48" s="74" t="str">
        <x:v>BE+Security</x:v>
      </x:c>
      <x:c r="I48" s="74" t="str">
        <x:v>Delete referenced asset, malicious SVG</x:v>
      </x:c>
      <x:c r="J48" s="74" t="str">
        <x:v>Open</x:v>
      </x:c>
    </x:row>
    <x:row r="49">
      <x:c r="A49" s="101" t="str">
        <x:v>GAP-TPL-004</x:v>
      </x:c>
      <x:c r="B49" s="74" t="str">
        <x:v>Template/editor</x:v>
      </x:c>
      <x:c r="C49" s="74" t="str">
        <x:v>Undo/version compare</x:v>
      </x:c>
      <x:c r="D49" s="74" t="str">
        <x:v>Template version exists but visual diff/restore is absent.</x:v>
      </x:c>
      <x:c r="E49" s="74" t="str">
        <x:v>Compare metadata/content and clone an old version into a new draft.</x:v>
      </x:c>
      <x:c r="F49" s="91" t="str">
        <x:v>P2</x:v>
      </x:c>
      <x:c r="G49" s="74" t="str">
        <x:v>P1</x:v>
      </x:c>
      <x:c r="H49" s="74" t="str">
        <x:v>FE+BE</x:v>
      </x:c>
      <x:c r="I49" s="74" t="str">
        <x:v>Restore does not mutate old version</x:v>
      </x:c>
      <x:c r="J49" s="74" t="str">
        <x:v>Open</x:v>
      </x:c>
    </x:row>
    <x:row r="50">
      <x:c r="A50" s="101" t="str">
        <x:v>GAP-SND-001</x:v>
      </x:c>
      <x:c r="B50" s="74" t="str">
        <x:v>Sender &amp; deliverability</x:v>
      </x:c>
      <x:c r="C50" s="74" t="str">
        <x:v>Domain authentication</x:v>
      </x:c>
      <x:c r="D50" s="74" t="str">
        <x:v>Only sender verification is defined; SPF/DKIM/DMARC status is absent.</x:v>
      </x:c>
      <x:c r="E50" s="74" t="str">
        <x:v>Model sending domain and verification checks; surface stale/missing records.</x:v>
      </x:c>
      <x:c r="F50" s="83" t="str">
        <x:v>P0</x:v>
      </x:c>
      <x:c r="G50" s="74" t="str">
        <x:v>MVP</x:v>
      </x:c>
      <x:c r="H50" s="74" t="str">
        <x:v>Product+BE</x:v>
      </x:c>
      <x:c r="I50" s="74" t="str">
        <x:v>DNS pending, DKIM rotated, DMARC warning</x:v>
      </x:c>
      <x:c r="J50" s="74" t="str">
        <x:v>Open</x:v>
      </x:c>
    </x:row>
    <x:row r="51">
      <x:c r="A51" s="101" t="str">
        <x:v>GAP-SND-002</x:v>
      </x:c>
      <x:c r="B51" s="74" t="str">
        <x:v>Sender &amp; deliverability</x:v>
      </x:c>
      <x:c r="C51" s="74" t="str">
        <x:v>Bounce classification</x:v>
      </x:c>
      <x:c r="D51" s="74" t="str">
        <x:v>Bounced is a single state without hard/soft policy.</x:v>
      </x:c>
      <x:c r="E51" s="74" t="str">
        <x:v>Normalize hard/soft/complaint; thresholds and suppression updates differ.</x:v>
      </x:c>
      <x:c r="F51" s="83" t="str">
        <x:v>P0</x:v>
      </x:c>
      <x:c r="G51" s="74" t="str">
        <x:v>MVP</x:v>
      </x:c>
      <x:c r="H51" s="74" t="str">
        <x:v>BE</x:v>
      </x:c>
      <x:c r="I51" s="74" t="str">
        <x:v>Soft retry exhaustion, hard bounce immediate suppression</x:v>
      </x:c>
      <x:c r="J51" s="74" t="str">
        <x:v>Open</x:v>
      </x:c>
    </x:row>
    <x:row r="52">
      <x:c r="A52" s="101" t="str">
        <x:v>GAP-SND-003</x:v>
      </x:c>
      <x:c r="B52" s="74" t="str">
        <x:v>Sender &amp; deliverability</x:v>
      </x:c>
      <x:c r="C52" s="74" t="str">
        <x:v>Complaint handling</x:v>
      </x:c>
      <x:c r="D52" s="74" t="str">
        <x:v>Spam complaint flow is absent.</x:v>
      </x:c>
      <x:c r="E52" s="74" t="str">
        <x:v>Verify provider event, suppress immediately and notify responsible users.</x:v>
      </x:c>
      <x:c r="F52" s="83" t="str">
        <x:v>P0</x:v>
      </x:c>
      <x:c r="G52" s="74" t="str">
        <x:v>MVP</x:v>
      </x:c>
      <x:c r="H52" s="74" t="str">
        <x:v>BE+Product</x:v>
      </x:c>
      <x:c r="I52" s="74" t="str">
        <x:v>Duplicate complaint, cross-campaign</x:v>
      </x:c>
      <x:c r="J52" s="74" t="str">
        <x:v>Open</x:v>
      </x:c>
    </x:row>
    <x:row r="53">
      <x:c r="A53" s="101" t="str">
        <x:v>GAP-SND-004</x:v>
      </x:c>
      <x:c r="B53" s="74" t="str">
        <x:v>Sender &amp; deliverability</x:v>
      </x:c>
      <x:c r="C53" s="74" t="str">
        <x:v>Provider failover</x:v>
      </x:c>
      <x:c r="D53" s="74" t="str">
        <x:v>Adapter exists but failover policy is undefined.</x:v>
      </x:c>
      <x:c r="E53" s="74" t="str">
        <x:v>Do not automatic-failover in MVP unless idempotent provider IDs are proven; define manual switch runbook.</x:v>
      </x:c>
      <x:c r="F53" s="87" t="str">
        <x:v>P1</x:v>
      </x:c>
      <x:c r="G53" s="74" t="str">
        <x:v>MVP</x:v>
      </x:c>
      <x:c r="H53" s="74" t="str">
        <x:v>Architect+SRE</x:v>
      </x:c>
      <x:c r="I53" s="74" t="str">
        <x:v>Timeout after provider acceptance</x:v>
      </x:c>
      <x:c r="J53" s="74" t="str">
        <x:v>Open</x:v>
      </x:c>
    </x:row>
    <x:row r="54">
      <x:c r="A54" s="101" t="str">
        <x:v>GAP-SND-005</x:v>
      </x:c>
      <x:c r="B54" s="74" t="str">
        <x:v>Sender &amp; deliverability</x:v>
      </x:c>
      <x:c r="C54" s="74" t="str">
        <x:v>Credential rotation</x:v>
      </x:c>
      <x:c r="D54" s="74" t="str">
        <x:v>Secret rotation and expiry warnings are not defined.</x:v>
      </x:c>
      <x:c r="E54" s="74" t="str">
        <x:v>Version secret references, test before activate, revoke old after grace period.</x:v>
      </x:c>
      <x:c r="F54" s="83" t="str">
        <x:v>P0</x:v>
      </x:c>
      <x:c r="G54" s="74" t="str">
        <x:v>MVP</x:v>
      </x:c>
      <x:c r="H54" s="74" t="str">
        <x:v>Security+SRE</x:v>
      </x:c>
      <x:c r="I54" s="74" t="str">
        <x:v>Rotation rollback</x:v>
      </x:c>
      <x:c r="J54" s="74" t="str">
        <x:v>Open</x:v>
      </x:c>
    </x:row>
    <x:row r="55">
      <x:c r="A55" s="101" t="str">
        <x:v>GAP-SND-006</x:v>
      </x:c>
      <x:c r="B55" s="74" t="str">
        <x:v>Sender &amp; deliverability</x:v>
      </x:c>
      <x:c r="C55" s="74" t="str">
        <x:v>Suppression reasons</x:v>
      </x:c>
      <x:c r="D55" s="74" t="str">
        <x:v>Suppression source/expiry/manual override are incomplete.</x:v>
      </x:c>
      <x:c r="E55" s="74" t="str">
        <x:v>Canonical suppression table with reason, source, effective_at, optional expiry and audit.</x:v>
      </x:c>
      <x:c r="F55" s="83" t="str">
        <x:v>P0</x:v>
      </x:c>
      <x:c r="G55" s="74" t="str">
        <x:v>MVP</x:v>
      </x:c>
      <x:c r="H55" s="74" t="str">
        <x:v>BE</x:v>
      </x:c>
      <x:c r="I55" s="74" t="str">
        <x:v>Global vs tenant suppression</x:v>
      </x:c>
      <x:c r="J55" s="74" t="str">
        <x:v>Open</x:v>
      </x:c>
    </x:row>
    <x:row r="56">
      <x:c r="A56" s="101" t="str">
        <x:v>GAP-SND-007</x:v>
      </x:c>
      <x:c r="B56" s="74" t="str">
        <x:v>Sender &amp; deliverability</x:v>
      </x:c>
      <x:c r="C56" s="74" t="str">
        <x:v>Link tracking policy</x:v>
      </x:c>
      <x:c r="D56" s="74" t="str">
        <x:v>Open/click tracking and privacy implications are undefined.</x:v>
      </x:c>
      <x:c r="E56" s="74" t="str">
        <x:v>Explicit tenant/campaign policy; signed redirect; bot filtering; allow disable.</x:v>
      </x:c>
      <x:c r="F56" s="87" t="str">
        <x:v>P1</x:v>
      </x:c>
      <x:c r="G56" s="74" t="str">
        <x:v>P1</x:v>
      </x:c>
      <x:c r="H56" s="74" t="str">
        <x:v>Product+Security</x:v>
      </x:c>
      <x:c r="I56" s="74" t="str">
        <x:v>Tracking off, bot click, unsafe redirect</x:v>
      </x:c>
      <x:c r="J56" s="74" t="str">
        <x:v>Open</x:v>
      </x:c>
    </x:row>
    <x:row r="57">
      <x:c r="A57" s="101" t="str">
        <x:v>GAP-SND-008</x:v>
      </x:c>
      <x:c r="B57" s="74" t="str">
        <x:v>Sender &amp; deliverability</x:v>
      </x:c>
      <x:c r="C57" s="74" t="str">
        <x:v>Unsubscribe endpoint</x:v>
      </x:c>
      <x:c r="D57" s="74" t="str">
        <x:v>URL exists but token, landing page and race behavior are not defined.</x:v>
      </x:c>
      <x:c r="E57" s="74" t="str">
        <x:v>Signed opaque token, idempotent action, immediate suppression and preference confirmation page.</x:v>
      </x:c>
      <x:c r="F57" s="83" t="str">
        <x:v>P0</x:v>
      </x:c>
      <x:c r="G57" s="74" t="str">
        <x:v>MVP</x:v>
      </x:c>
      <x:c r="H57" s="74" t="str">
        <x:v>BE+FE</x:v>
      </x:c>
      <x:c r="I57" s="74" t="str">
        <x:v>Expired/tampered/repeated click, send concurrently</x:v>
      </x:c>
      <x:c r="J57" s="74" t="str">
        <x:v>Open</x:v>
      </x:c>
    </x:row>
    <x:row r="58">
      <x:c r="A58" s="101" t="str">
        <x:v>GAP-SCH-001</x:v>
      </x:c>
      <x:c r="B58" s="74" t="str">
        <x:v>Scheduling</x:v>
      </x:c>
      <x:c r="C58" s="74" t="str">
        <x:v>Edit/reschedule boundary</x:v>
      </x:c>
      <x:c r="D58" s="74" t="str">
        <x:v>Lock timing around due execution is not explicit.</x:v>
      </x:c>
      <x:c r="E58" s="74" t="str">
        <x:v>Define minimum lead and atomic compare-and-swap between reschedule/cancel/dispatch.</x:v>
      </x:c>
      <x:c r="F58" s="83" t="str">
        <x:v>P0</x:v>
      </x:c>
      <x:c r="G58" s="74" t="str">
        <x:v>MVP</x:v>
      </x:c>
      <x:c r="H58" s="74" t="str">
        <x:v>BE</x:v>
      </x:c>
      <x:c r="I58" s="74" t="str">
        <x:v>Cancel at due time across replicas</x:v>
      </x:c>
      <x:c r="J58" s="74" t="str">
        <x:v>Open</x:v>
      </x:c>
    </x:row>
    <x:row r="59">
      <x:c r="A59" s="101" t="str">
        <x:v>GAP-SCH-002</x:v>
      </x:c>
      <x:c r="B59" s="74" t="str">
        <x:v>Scheduling</x:v>
      </x:c>
      <x:c r="C59" s="74" t="str">
        <x:v>Maintenance delay</x:v>
      </x:c>
      <x:c r="D59" s="74" t="str">
        <x:v>Planned downtime behavior is absent.</x:v>
      </x:c>
      <x:c r="E59" s="74" t="str">
        <x:v>Define grace window, delayed notification and operator runbook.</x:v>
      </x:c>
      <x:c r="F59" s="87" t="str">
        <x:v>P1</x:v>
      </x:c>
      <x:c r="G59" s="74" t="str">
        <x:v>MVP</x:v>
      </x:c>
      <x:c r="H59" s="74" t="str">
        <x:v>SRE+Product</x:v>
      </x:c>
      <x:c r="I59" s="74" t="str">
        <x:v>Downtime spans scheduled time</x:v>
      </x:c>
      <x:c r="J59" s="74" t="str">
        <x:v>Open</x:v>
      </x:c>
    </x:row>
    <x:row r="60">
      <x:c r="A60" s="101" t="str">
        <x:v>GAP-SCH-003</x:v>
      </x:c>
      <x:c r="B60" s="74" t="str">
        <x:v>Scheduling</x:v>
      </x:c>
      <x:c r="C60" s="74" t="str">
        <x:v>Recurring campaigns</x:v>
      </x:c>
      <x:c r="D60" s="74" t="str">
        <x:v>Not explicitly in or out of scope.</x:v>
      </x:c>
      <x:c r="E60" s="74" t="str">
        <x:v>Mark out of MVP; future design must create immutable child campaigns per occurrence.</x:v>
      </x:c>
      <x:c r="F60" s="91" t="str">
        <x:v>P2</x:v>
      </x:c>
      <x:c r="G60" s="74" t="str">
        <x:v>P2</x:v>
      </x:c>
      <x:c r="H60" s="74" t="str">
        <x:v>Product</x:v>
      </x:c>
      <x:c r="I60" s="74" t="str">
        <x:v>DST recurrence and skipped occurrence</x:v>
      </x:c>
      <x:c r="J60" s="74" t="str">
        <x:v>Open</x:v>
      </x:c>
    </x:row>
    <x:row r="61">
      <x:c r="A61" s="101" t="str">
        <x:v>GAP-HIS-001</x:v>
      </x:c>
      <x:c r="B61" s="74" t="str">
        <x:v>History &amp; analytics</x:v>
      </x:c>
      <x:c r="C61" s="74" t="str">
        <x:v>Metric definitions</x:v>
      </x:c>
      <x:c r="D61" s="74" t="str">
        <x:v>Sent/delivered/open/click/bounce denominators are not standardized.</x:v>
      </x:c>
      <x:c r="E61" s="74" t="str">
        <x:v>Publish metric dictionary including late webhooks and bot filtering.</x:v>
      </x:c>
      <x:c r="F61" s="83" t="str">
        <x:v>P0</x:v>
      </x:c>
      <x:c r="G61" s="74" t="str">
        <x:v>MVP</x:v>
      </x:c>
      <x:c r="H61" s="74" t="str">
        <x:v>BA+Data</x:v>
      </x:c>
      <x:c r="I61" s="74" t="str">
        <x:v>Counts reconcile across list/detail/export</x:v>
      </x:c>
      <x:c r="J61" s="74" t="str">
        <x:v>Open</x:v>
      </x:c>
    </x:row>
    <x:row r="62">
      <x:c r="A62" s="101" t="str">
        <x:v>GAP-HIS-002</x:v>
      </x:c>
      <x:c r="B62" s="74" t="str">
        <x:v>History &amp; analytics</x:v>
      </x:c>
      <x:c r="C62" s="74" t="str">
        <x:v>Eventual correction</x:v>
      </x:c>
      <x:c r="D62" s="74" t="str">
        <x:v>Late delivery events can change completed campaign totals without UX rules.</x:v>
      </x:c>
      <x:c r="E62" s="74" t="str">
        <x:v>Show last_updated and provisional/final status; recompute idempotently.</x:v>
      </x:c>
      <x:c r="F62" s="87" t="str">
        <x:v>P1</x:v>
      </x:c>
      <x:c r="G62" s="74" t="str">
        <x:v>MVP</x:v>
      </x:c>
      <x:c r="H62" s="74" t="str">
        <x:v>BE+FE</x:v>
      </x:c>
      <x:c r="I62" s="74" t="str">
        <x:v>Webhook days later</x:v>
      </x:c>
      <x:c r="J62" s="74" t="str">
        <x:v>Open</x:v>
      </x:c>
    </x:row>
    <x:row r="63">
      <x:c r="A63" s="101" t="str">
        <x:v>GAP-HIS-003</x:v>
      </x:c>
      <x:c r="B63" s="74" t="str">
        <x:v>History &amp; analytics</x:v>
      </x:c>
      <x:c r="C63" s="74" t="str">
        <x:v>Per-recipient privacy</x:v>
      </x:c>
      <x:c r="D63" s="74" t="str">
        <x:v>Drill-down access/masking/export is not role-specific.</x:v>
      </x:c>
      <x:c r="E63" s="74" t="str">
        <x:v>Field-level permission and masked email for Viewer where required.</x:v>
      </x:c>
      <x:c r="F63" s="83" t="str">
        <x:v>P0</x:v>
      </x:c>
      <x:c r="G63" s="74" t="str">
        <x:v>MVP</x:v>
      </x:c>
      <x:c r="H63" s="74" t="str">
        <x:v>Security+Product</x:v>
      </x:c>
      <x:c r="I63" s="74" t="str">
        <x:v>Viewer vs Operator detail</x:v>
      </x:c>
      <x:c r="J63" s="74" t="str">
        <x:v>Open</x:v>
      </x:c>
    </x:row>
    <x:row r="64">
      <x:c r="A64" s="101" t="str">
        <x:v>GAP-HIS-004</x:v>
      </x:c>
      <x:c r="B64" s="74" t="str">
        <x:v>History &amp; analytics</x:v>
      </x:c>
      <x:c r="C64" s="74" t="str">
        <x:v>Comparison</x:v>
      </x:c>
      <x:c r="D64" s="74" t="str">
        <x:v>No campaign comparison or trend baseline.</x:v>
      </x:c>
      <x:c r="E64" s="74" t="str">
        <x:v>Defer comparison to P1; define same metric dictionary first.</x:v>
      </x:c>
      <x:c r="F64" s="91" t="str">
        <x:v>P2</x:v>
      </x:c>
      <x:c r="G64" s="74" t="str">
        <x:v>P1</x:v>
      </x:c>
      <x:c r="H64" s="74" t="str">
        <x:v>Product+Data</x:v>
      </x:c>
      <x:c r="I64" s="74" t="str">
        <x:v>Compare different audience sizes</x:v>
      </x:c>
      <x:c r="J64" s="74" t="str">
        <x:v>Open</x:v>
      </x:c>
    </x:row>
    <x:row r="65">
      <x:c r="A65" s="101" t="str">
        <x:v>GAP-HIS-005</x:v>
      </x:c>
      <x:c r="B65" s="74" t="str">
        <x:v>History &amp; analytics</x:v>
      </x:c>
      <x:c r="C65" s="74" t="str">
        <x:v>Provider reconciliation</x:v>
      </x:c>
      <x:c r="D65" s="74" t="str">
        <x:v>Counts can diverge without scheduled reconciliation workflow.</x:v>
      </x:c>
      <x:c r="E65" s="74" t="str">
        <x:v>Periodic job compares canonical messages/provider events and raises issue.</x:v>
      </x:c>
      <x:c r="F65" s="83" t="str">
        <x:v>P0</x:v>
      </x:c>
      <x:c r="G65" s="74" t="str">
        <x:v>MVP</x:v>
      </x:c>
      <x:c r="H65" s="74" t="str">
        <x:v>BE+SRE</x:v>
      </x:c>
      <x:c r="I65" s="74" t="str">
        <x:v>Missing/duplicate/out-of-order webhook</x:v>
      </x:c>
      <x:c r="J65" s="74" t="str">
        <x:v>Open</x:v>
      </x:c>
    </x:row>
    <x:row r="66">
      <x:c r="A66" s="101" t="str">
        <x:v>GAP-SEC-001</x:v>
      </x:c>
      <x:c r="B66" s="74" t="str">
        <x:v>Security &amp; governance</x:v>
      </x:c>
      <x:c r="C66" s="74" t="str">
        <x:v>Audit retention/access</x:v>
      </x:c>
      <x:c r="D66" s="74" t="str">
        <x:v>Audit exists but retention, export and privileged access are not defined.</x:v>
      </x:c>
      <x:c r="E66" s="74" t="str">
        <x:v>Immutable append model, retention policy and dedicated audit permission.</x:v>
      </x:c>
      <x:c r="F66" s="83" t="str">
        <x:v>P0</x:v>
      </x:c>
      <x:c r="G66" s="74" t="str">
        <x:v>MVP</x:v>
      </x:c>
      <x:c r="H66" s="74" t="str">
        <x:v>Security</x:v>
      </x:c>
      <x:c r="I66" s="74" t="str">
        <x:v>Tamper attempt, actor deleted</x:v>
      </x:c>
      <x:c r="J66" s="74" t="str">
        <x:v>Open</x:v>
      </x:c>
    </x:row>
    <x:row r="67">
      <x:c r="A67" s="101" t="str">
        <x:v>GAP-SEC-002</x:v>
      </x:c>
      <x:c r="B67" s="74" t="str">
        <x:v>Security &amp; governance</x:v>
      </x:c>
      <x:c r="C67" s="74" t="str">
        <x:v>Data-subject request</x:v>
      </x:c>
      <x:c r="D67" s="74" t="str">
        <x:v>Recipient export/delete workflow for privacy request is absent.</x:v>
      </x:c>
      <x:c r="E67" s="74" t="str">
        <x:v>Search identity, export, redact/delete subject to legal retention and record fulfillment.</x:v>
      </x:c>
      <x:c r="F67" s="87" t="str">
        <x:v>P1</x:v>
      </x:c>
      <x:c r="G67" s="74" t="str">
        <x:v>P1</x:v>
      </x:c>
      <x:c r="H67" s="74" t="str">
        <x:v>Legal+BE</x:v>
      </x:c>
      <x:c r="I67" s="74" t="str">
        <x:v>Recipient in immutable send history</x:v>
      </x:c>
      <x:c r="J67" s="74" t="str">
        <x:v>Open</x:v>
      </x:c>
    </x:row>
    <x:row r="68">
      <x:c r="A68" s="101" t="str">
        <x:v>GAP-SEC-003</x:v>
      </x:c>
      <x:c r="B68" s="74" t="str">
        <x:v>Security &amp; governance</x:v>
      </x:c>
      <x:c r="C68" s="74" t="str">
        <x:v>Secret handling</x:v>
      </x:c>
      <x:c r="D68" s="74" t="str">
        <x:v>Provider secret storage and redaction details are incomplete.</x:v>
      </x:c>
      <x:c r="E68" s="74" t="str">
        <x:v>Secret manager references only; never return secret; log/trace redaction tests.</x:v>
      </x:c>
      <x:c r="F68" s="83" t="str">
        <x:v>P0</x:v>
      </x:c>
      <x:c r="G68" s="74" t="str">
        <x:v>MVP</x:v>
      </x:c>
      <x:c r="H68" s="74" t="str">
        <x:v>Security+SRE</x:v>
      </x:c>
      <x:c r="I68" s="74" t="str">
        <x:v>Secret in exception/config dump</x:v>
      </x:c>
      <x:c r="J68" s="74" t="str">
        <x:v>Open</x:v>
      </x:c>
    </x:row>
    <x:row r="69">
      <x:c r="A69" s="101" t="str">
        <x:v>GAP-SEC-004</x:v>
      </x:c>
      <x:c r="B69" s="74" t="str">
        <x:v>Security &amp; governance</x:v>
      </x:c>
      <x:c r="C69" s="74" t="str">
        <x:v>CSRF/CORS/CSP</x:v>
      </x:c>
      <x:c r="D69" s="74" t="str">
        <x:v>Browser security headers/policies are not specified.</x:v>
      </x:c>
      <x:c r="E69" s="74" t="str">
        <x:v>SameSite cookies, CSRF protection where needed, strict CORS and CSP compatible with editor assets.</x:v>
      </x:c>
      <x:c r="F69" s="83" t="str">
        <x:v>P0</x:v>
      </x:c>
      <x:c r="G69" s="74" t="str">
        <x:v>MVP</x:v>
      </x:c>
      <x:c r="H69" s="74" t="str">
        <x:v>Security+FE+BE</x:v>
      </x:c>
      <x:c r="I69" s="74" t="str">
        <x:v>Cross-origin mutation, XSS payload</x:v>
      </x:c>
      <x:c r="J69" s="74" t="str">
        <x:v>Open</x:v>
      </x:c>
    </x:row>
    <x:row r="70">
      <x:c r="A70" s="101" t="str">
        <x:v>GAP-SEC-005</x:v>
      </x:c>
      <x:c r="B70" s="74" t="str">
        <x:v>Security &amp; governance</x:v>
      </x:c>
      <x:c r="C70" s="74" t="str">
        <x:v>Rate-limit dimensions</x:v>
      </x:c>
      <x:c r="D70" s="74" t="str">
        <x:v>Only login and provider limits are described.</x:v>
      </x:c>
      <x:c r="E70" s="74" t="str">
        <x:v>Per-IP/user/tenant limits for auth, preview, export, socket connect and expensive filters.</x:v>
      </x:c>
      <x:c r="F70" s="83" t="str">
        <x:v>P0</x:v>
      </x:c>
      <x:c r="G70" s="74" t="str">
        <x:v>MVP</x:v>
      </x:c>
      <x:c r="H70" s="74" t="str">
        <x:v>Security+SRE</x:v>
      </x:c>
      <x:c r="I70" s="74" t="str">
        <x:v>Distributed abuse and Retry-After</x:v>
      </x:c>
      <x:c r="J70" s="74" t="str">
        <x:v>Open</x:v>
      </x:c>
    </x:row>
    <x:row r="71">
      <x:c r="A71" s="101" t="str">
        <x:v>GAP-SEC-006</x:v>
      </x:c>
      <x:c r="B71" s="74" t="str">
        <x:v>Security &amp; governance</x:v>
      </x:c>
      <x:c r="C71" s="74" t="str">
        <x:v>Dependency governance</x:v>
      </x:c>
      <x:c r="D71" s="74" t="str">
        <x:v>No SBOM/license/vulnerability policy.</x:v>
      </x:c>
      <x:c r="E71" s="74" t="str">
        <x:v>Lockfile, Renovate, SBOM, SCA and high-severity release gate.</x:v>
      </x:c>
      <x:c r="F71" s="87" t="str">
        <x:v>P1</x:v>
      </x:c>
      <x:c r="G71" s="74" t="str">
        <x:v>MVP</x:v>
      </x:c>
      <x:c r="H71" s="74" t="str">
        <x:v>Platform+Security</x:v>
      </x:c>
      <x:c r="I71" s="74" t="str">
        <x:v>Vulnerable transitive dependency</x:v>
      </x:c>
      <x:c r="J71" s="74" t="str">
        <x:v>Open</x:v>
      </x:c>
    </x:row>
    <x:row r="72">
      <x:c r="A72" s="101" t="str">
        <x:v>GAP-OPS-001</x:v>
      </x:c>
      <x:c r="B72" s="74" t="str">
        <x:v>Operations</x:v>
      </x:c>
      <x:c r="C72" s="74" t="str">
        <x:v>Admin job console</x:v>
      </x:c>
      <x:c r="D72" s="74" t="str">
        <x:v>Operators cannot inspect/retry failed background jobs safely.</x:v>
      </x:c>
      <x:c r="E72" s="74" t="str">
        <x:v>Read-only queue/job view plus permissioned retry/cancel using domain commands.</x:v>
      </x:c>
      <x:c r="F72" s="87" t="str">
        <x:v>P1</x:v>
      </x:c>
      <x:c r="G72" s="74" t="str">
        <x:v>MVP</x:v>
      </x:c>
      <x:c r="H72" s="74" t="str">
        <x:v>SRE+BE</x:v>
      </x:c>
      <x:c r="I72" s="74" t="str">
        <x:v>Retry completed/idempotent job</x:v>
      </x:c>
      <x:c r="J72" s="74" t="str">
        <x:v>Open</x:v>
      </x:c>
    </x:row>
    <x:row r="73">
      <x:c r="A73" s="101" t="str">
        <x:v>GAP-OPS-002</x:v>
      </x:c>
      <x:c r="B73" s="74" t="str">
        <x:v>Operations</x:v>
      </x:c>
      <x:c r="C73" s="74" t="str">
        <x:v>Dead-letter workflow</x:v>
      </x:c>
      <x:c r="D73" s="74" t="str">
        <x:v>DLQ is tested but ownership and replay approval are absent.</x:v>
      </x:c>
      <x:c r="E73" s="74" t="str">
        <x:v>Alert, triage reason, safe replay tool and audit trail.</x:v>
      </x:c>
      <x:c r="F73" s="83" t="str">
        <x:v>P0</x:v>
      </x:c>
      <x:c r="G73" s="74" t="str">
        <x:v>MVP</x:v>
      </x:c>
      <x:c r="H73" s="74" t="str">
        <x:v>SRE</x:v>
      </x:c>
      <x:c r="I73" s="74" t="str">
        <x:v>Poison payload repeatedly fails</x:v>
      </x:c>
      <x:c r="J73" s="74" t="str">
        <x:v>Open</x:v>
      </x:c>
    </x:row>
    <x:row r="74">
      <x:c r="A74" s="101" t="str">
        <x:v>GAP-OPS-003</x:v>
      </x:c>
      <x:c r="B74" s="74" t="str">
        <x:v>Operations</x:v>
      </x:c>
      <x:c r="C74" s="74" t="str">
        <x:v>Feature flags</x:v>
      </x:c>
      <x:c r="D74" s="74" t="str">
        <x:v>Risky capabilities lack staged rollout/kill switch.</x:v>
      </x:c>
      <x:c r="E74" s="74" t="str">
        <x:v>Server-evaluated flags for send, schedule, editor and provider; audit changes.</x:v>
      </x:c>
      <x:c r="F74" s="87" t="str">
        <x:v>P1</x:v>
      </x:c>
      <x:c r="G74" s="74" t="str">
        <x:v>MVP</x:v>
      </x:c>
      <x:c r="H74" s="74" t="str">
        <x:v>Platform</x:v>
      </x:c>
      <x:c r="I74" s="74" t="str">
        <x:v>Disable send during incident</x:v>
      </x:c>
      <x:c r="J74" s="74" t="str">
        <x:v>Open</x:v>
      </x:c>
    </x:row>
    <x:row r="75">
      <x:c r="A75" s="101" t="str">
        <x:v>GAP-OPS-004</x:v>
      </x:c>
      <x:c r="B75" s="74" t="str">
        <x:v>Operations</x:v>
      </x:c>
      <x:c r="C75" s="74" t="str">
        <x:v>Health/readiness</x:v>
      </x:c>
      <x:c r="D75" s="74" t="str">
        <x:v>Availability rule lacks dependency-specific health behavior.</x:v>
      </x:c>
      <x:c r="E75" s="74" t="str">
        <x:v>Liveness independent; readiness checks DB/Redis and worker queue lag thresholds.</x:v>
      </x:c>
      <x:c r="F75" s="83" t="str">
        <x:v>P0</x:v>
      </x:c>
      <x:c r="G75" s="74" t="str">
        <x:v>MVP</x:v>
      </x:c>
      <x:c r="H75" s="74" t="str">
        <x:v>SRE</x:v>
      </x:c>
      <x:c r="I75" s="74" t="str">
        <x:v>Redis down, DB slow, rolling deploy</x:v>
      </x:c>
      <x:c r="J75" s="74" t="str">
        <x:v>Open</x:v>
      </x:c>
    </x:row>
    <x:row r="76">
      <x:c r="A76" s="101" t="str">
        <x:v>GAP-OPS-005</x:v>
      </x:c>
      <x:c r="B76" s="74" t="str">
        <x:v>Operations</x:v>
      </x:c>
      <x:c r="C76" s="74" t="str">
        <x:v>Capacity limits</x:v>
      </x:c>
      <x:c r="D76" s="74" t="str">
        <x:v>File, audience and campaign limits are scattered/default-only.</x:v>
      </x:c>
      <x:c r="E76" s="74" t="str">
        <x:v>Central tenant plan/limit service and clear 409/422 errors with upgrade/contact path.</x:v>
      </x:c>
      <x:c r="F76" s="87" t="str">
        <x:v>P1</x:v>
      </x:c>
      <x:c r="G76" s="74" t="str">
        <x:v>MVP</x:v>
      </x:c>
      <x:c r="H76" s="74" t="str">
        <x:v>Product+BE</x:v>
      </x:c>
      <x:c r="I76" s="74" t="str">
        <x:v>Concurrent limit changes</x:v>
      </x:c>
      <x:c r="J76" s="74" t="str">
        <x:v>Open</x:v>
      </x:c>
    </x:row>
    <x:row r="77">
      <x:c r="A77" s="101" t="str">
        <x:v>GAP-UX-001</x:v>
      </x:c>
      <x:c r="B77" s="74" t="str">
        <x:v>UX resilience</x:v>
      </x:c>
      <x:c r="C77" s="74" t="str">
        <x:v>Offline/stale indicator</x:v>
      </x:c>
      <x:c r="D77" s="74" t="str">
        <x:v>Realtime connection state is invisible.</x:v>
      </x:c>
      <x:c r="E77" s="74" t="str">
        <x:v>Show live/reconnecting/stale state and last update; allow manual refresh.</x:v>
      </x:c>
      <x:c r="F77" s="87" t="str">
        <x:v>P1</x:v>
      </x:c>
      <x:c r="G77" s="74" t="str">
        <x:v>MVP</x:v>
      </x:c>
      <x:c r="H77" s="74" t="str">
        <x:v>FE</x:v>
      </x:c>
      <x:c r="I77" s="74" t="str">
        <x:v>Offline/reconnect and hidden tab</x:v>
      </x:c>
      <x:c r="J77" s="74" t="str">
        <x:v>Open</x:v>
      </x:c>
    </x:row>
    <x:row r="78">
      <x:c r="A78" s="101" t="str">
        <x:v>GAP-UX-002</x:v>
      </x:c>
      <x:c r="B78" s="74" t="str">
        <x:v>UX resilience</x:v>
      </x:c>
      <x:c r="C78" s="74" t="str">
        <x:v>Long-job navigation</x:v>
      </x:c>
      <x:c r="D78" s="74" t="str">
        <x:v>Leaving the page can hide import/bulk/send outcomes.</x:v>
      </x:c>
      <x:c r="E78" s="74" t="str">
        <x:v>Persist job links in notification center and global activity panel.</x:v>
      </x:c>
      <x:c r="F78" s="87" t="str">
        <x:v>P1</x:v>
      </x:c>
      <x:c r="G78" s="74" t="str">
        <x:v>MVP</x:v>
      </x:c>
      <x:c r="H78" s="74" t="str">
        <x:v>FE+BE</x:v>
      </x:c>
      <x:c r="I78" s="74" t="str">
        <x:v>Reload/close tab during job</x:v>
      </x:c>
      <x:c r="J78" s="74" t="str">
        <x:v>Open</x:v>
      </x:c>
    </x:row>
    <x:row r="79">
      <x:c r="A79" s="101" t="str">
        <x:v>GAP-UX-003</x:v>
      </x:c>
      <x:c r="B79" s="74" t="str">
        <x:v>UX resilience</x:v>
      </x:c>
      <x:c r="C79" s="74" t="str">
        <x:v>Error taxonomy</x:v>
      </x:c>
      <x:c r="D79" s="74" t="str">
        <x:v>UI cannot consistently distinguish validation/conflict/permission/retryable failures.</x:v>
      </x:c>
      <x:c r="E79" s="74" t="str">
        <x:v>Adopt standard problem-details schema with code, field errors, correlation_id and retryability.</x:v>
      </x:c>
      <x:c r="F79" s="83" t="str">
        <x:v>P0</x:v>
      </x:c>
      <x:c r="G79" s="74" t="str">
        <x:v>MVP</x:v>
      </x:c>
      <x:c r="H79" s="74" t="str">
        <x:v>Architect+FE+BE</x:v>
      </x:c>
      <x:c r="I79" s="74" t="str">
        <x:v>400/401/403/404/409/422/429/5xx</x:v>
      </x:c>
      <x:c r="J79" s="74" t="str">
        <x:v>Open</x:v>
      </x:c>
    </x:row>
    <x:row r="80">
      <x:c r="A80" s="102" t="str">
        <x:v>GAP-UX-004</x:v>
      </x:c>
      <x:c r="B80" s="75" t="str">
        <x:v>UX resilience</x:v>
      </x:c>
      <x:c r="C80" s="75" t="str">
        <x:v>Accessibility of live updates</x:v>
      </x:c>
      <x:c r="D80" s="75" t="str">
        <x:v>Progress/toast changes may not be announced correctly.</x:v>
      </x:c>
      <x:c r="E80" s="75" t="str">
        <x:v>Use appropriate aria-live politeness, prevent focus theft and provide text progress.</x:v>
      </x:c>
      <x:c r="F80" s="99" t="str">
        <x:v>P1</x:v>
      </x:c>
      <x:c r="G80" s="75" t="str">
        <x:v>MVP</x:v>
      </x:c>
      <x:c r="H80" s="75" t="str">
        <x:v>FE+QA</x:v>
      </x:c>
      <x:c r="I80" s="75" t="str">
        <x:v>Screen reader during rapid progress</x:v>
      </x:c>
      <x:c r="J80" s="75" t="str">
        <x:v>Open</x:v>
      </x:c>
    </x:row>
  </x:sheetData>
  <x:mergeCells>
    <x:mergeCell ref="A1:J1"/>
    <x:mergeCell ref="A2:J2"/>
  </x:mergeCells>
  <x:dataValidations count="1">
    <x:dataValidation type="list" sqref="J6:J80">
      <x:formula1>"Open,In analysis,Approved,Implemented,Verified,Deferred,Rejected"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5" hidden="0" customWidth="1"/>
    <x:col min="3" max="3" width="60" hidden="0" customWidth="1"/>
    <x:col min="4" max="4" width="22" hidden="0" customWidth="1"/>
    <x:col min="5" max="5" width="25" hidden="0" customWidth="1"/>
    <x:col min="6" max="6" width="20" hidden="0" customWidth="1"/>
    <x:col min="7" max="7" width="17" hidden="0" customWidth="1"/>
  </x:cols>
  <x:sheetData>
    <x:row r="1" ht="34" customHeight="1">
      <x:c r="A1" s="3" t="str">
        <x:v>ARCHITECTURE DELIVERY ROADMAP</x:v>
      </x:c>
      <x:c r="B1" s="3"/>
      <x:c r="C1" s="3"/>
      <x:c r="D1" s="3"/>
      <x:c r="E1" s="3"/>
      <x:c r="F1" s="3"/>
      <x:c r="G1" s="3"/>
    </x:row>
    <x:row r="2" ht="26" customHeight="1">
      <x:c r="A2" s="6" t="str">
        <x:v>Sequence is risk-first; dates/owners are intentionally editable planning inputs</x:v>
      </x:c>
      <x:c r="B2" s="6"/>
      <x:c r="C2" s="6"/>
      <x:c r="D2" s="6"/>
      <x:c r="E2" s="6"/>
      <x:c r="F2" s="6"/>
      <x:c r="G2" s="6"/>
    </x:row>
    <x:row r="5" ht="30" customHeight="1">
      <x:c r="A5" s="15" t="str">
        <x:v>Phase</x:v>
      </x:c>
      <x:c r="B5" s="16" t="str">
        <x:v>Scope</x:v>
      </x:c>
      <x:c r="C5" s="16" t="str">
        <x:v>Exit gate</x:v>
      </x:c>
      <x:c r="D5" s="16" t="str">
        <x:v>Depends on</x:v>
      </x:c>
      <x:c r="E5" s="16" t="str">
        <x:v>Owner</x:v>
      </x:c>
      <x:c r="F5" s="16" t="str">
        <x:v>Target</x:v>
      </x:c>
      <x:c r="G5" s="17" t="str">
        <x:v>Status</x:v>
      </x:c>
    </x:row>
    <x:row r="6">
      <x:c r="A6" s="54" t="str">
        <x:v>0 — Compatibility spike</x:v>
      </x:c>
      <x:c r="B6" s="54" t="str">
        <x:v>Fork FE/BE; workspace conversion; cookie auth; OpenAPI client; one BullMQ job; one Socket.IO event; template render spike</x:v>
      </x:c>
      <x:c r="C6" s="54" t="str">
        <x:v>Exact versions locked; build/test/SCA/license/threat review pass</x:v>
      </x:c>
      <x:c r="D6" s="54" t="str">
        <x:v>None</x:v>
      </x:c>
      <x:c r="E6" s="54" t="str">
        <x:v>Architect+Tech Leads</x:v>
      </x:c>
      <x:c r="F6" s="54" t="str">
        <x:v>2–4 days</x:v>
      </x:c>
      <x:c r="G6" s="54" t="str">
        <x:v>Not started</x:v>
      </x:c>
    </x:row>
    <x:row r="7">
      <x:c r="A7" s="55" t="str">
        <x:v>1 — Platform foundation</x:v>
      </x:c>
      <x:c r="B7" s="55" t="str">
        <x:v>Tenant guards, outbox, job model, problem details, telemetry, notification schema and gateway</x:v>
      </x:c>
      <x:c r="C7" s="55" t="str">
        <x:v>Tenant/idempotency/reconnect/worker restart tests pass</x:v>
      </x:c>
      <x:c r="D7" s="55" t="str">
        <x:v>Phase 0</x:v>
      </x:c>
      <x:c r="E7" s="55" t="str">
        <x:v>BE+Platform</x:v>
      </x:c>
      <x:c r="F7" s="55" t="str">
        <x:v>Sprint 1–2</x:v>
      </x:c>
      <x:c r="G7" s="55" t="str">
        <x:v>Not started</x:v>
      </x:c>
    </x:row>
    <x:row r="8">
      <x:c r="A8" s="55" t="str">
        <x:v>2 — Core email workflow</x:v>
      </x:c>
      <x:c r="B8" s="55" t="str">
        <x:v>Snapshot/preflight/schedule/provider/progress/history</x:v>
      </x:c>
      <x:c r="C8" s="55" t="str">
        <x:v>100k reconciliation; no duplicate send; scheduler race pass</x:v>
      </x:c>
      <x:c r="D8" s="55" t="str">
        <x:v>Phase 1</x:v>
      </x:c>
      <x:c r="E8" s="55" t="str">
        <x:v>FE+BE+QA</x:v>
      </x:c>
      <x:c r="F8" s="55" t="str">
        <x:v>Sprint 3–5</x:v>
      </x:c>
      <x:c r="G8" s="55" t="str">
        <x:v>Not started</x:v>
      </x:c>
    </x:row>
    <x:row r="9">
      <x:c r="A9" s="55" t="str">
        <x:v>3 — Data operations</x:v>
      </x:c>
      <x:c r="B9" s="55" t="str">
        <x:v>Import/export/bulk custom data/missing-variable repair/notifications</x:v>
      </x:c>
      <x:c r="C9" s="55" t="str">
        <x:v>Partial failures, file security and long-job navigation pass</x:v>
      </x:c>
      <x:c r="D9" s="55" t="str">
        <x:v>Phase 1–2</x:v>
      </x:c>
      <x:c r="E9" s="55" t="str">
        <x:v>FE+BE+QA</x:v>
      </x:c>
      <x:c r="F9" s="55" t="str">
        <x:v>Sprint 5–6</x:v>
      </x:c>
      <x:c r="G9" s="55" t="str">
        <x:v>Not started</x:v>
      </x:c>
    </x:row>
    <x:row r="10">
      <x:c r="A10" s="56" t="str">
        <x:v>4 — Hardening</x:v>
      </x:c>
      <x:c r="B10" s="56" t="str">
        <x:v>Deliverability, complaint/bounce, DLQ/admin tools, DR/load/a11y</x:v>
      </x:c>
      <x:c r="C10" s="56" t="str">
        <x:v>All P0 gaps closed and P0 evidence linked</x:v>
      </x:c>
      <x:c r="D10" s="56" t="str">
        <x:v>Phase 2–3</x:v>
      </x:c>
      <x:c r="E10" s="56" t="str">
        <x:v>All</x:v>
      </x:c>
      <x:c r="F10" s="56" t="str">
        <x:v>Sprint 7+</x:v>
      </x:c>
      <x:c r="G10" s="56" t="str">
        <x:v>Not started</x:v>
      </x:c>
    </x:row>
  </x:sheetData>
  <x:mergeCells>
    <x:mergeCell ref="A1:G1"/>
    <x:mergeCell ref="A2:G2"/>
  </x:mergeCells>
  <x:dataValidations count="1">
    <x:dataValidation type="list" sqref="G6:G10">
      <x:formula1>"Not started,In progress,Blocked,Done"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65" hidden="0" customWidth="1"/>
    <x:col min="4" max="4" width="74" hidden="0" customWidth="1"/>
  </x:cols>
  <x:sheetData>
    <x:row r="1" ht="34" customHeight="1">
      <x:c r="A1" s="3" t="str">
        <x:v>PRIMARY SOURCE REGISTER</x:v>
      </x:c>
      <x:c r="B1" s="3"/>
      <x:c r="C1" s="3"/>
      <x:c r="D1" s="3"/>
    </x:row>
    <x:row r="2" ht="26" customHeight="1">
      <x:c r="A2" s="6" t="str">
        <x:v>Official repositories and official documentation used for architecture decisions</x:v>
      </x:c>
      <x:c r="B2" s="6"/>
      <x:c r="C2" s="6"/>
      <x:c r="D2" s="6"/>
    </x:row>
    <x:row r="5" ht="30" customHeight="1">
      <x:c r="A5" s="15" t="str">
        <x:v>Source ID</x:v>
      </x:c>
      <x:c r="B5" s="16" t="str">
        <x:v>Source</x:v>
      </x:c>
      <x:c r="C5" s="16" t="str">
        <x:v>URL</x:v>
      </x:c>
      <x:c r="D5" s="17" t="str">
        <x:v>Evidence used</x:v>
      </x:c>
    </x:row>
    <x:row r="6">
      <x:c r="A6" s="57" t="str">
        <x:v>SRC-001</x:v>
      </x:c>
      <x:c r="B6" s="54" t="str">
        <x:v>Refine GitHub</x:v>
      </x:c>
      <x:c r="C6" s="54" t="str">
        <x:v>https://github.com/refinedev/refine</x:v>
      </x:c>
      <x:c r="D6" s="54" t="str">
        <x:v>Headless React meta-framework; GitHub organization snapshot showed about 35.5k stars.</x:v>
      </x:c>
    </x:row>
    <x:row r="7">
      <x:c r="A7" s="58" t="str">
        <x:v>SRC-002</x:v>
      </x:c>
      <x:c r="B7" s="55" t="str">
        <x:v>Refine realtime</x:v>
      </x:c>
      <x:c r="C7" s="55" t="str">
        <x:v>https://refine.dev/core/docs/realtime/live-provider/</x:v>
      </x:c>
      <x:c r="D7" s="55" t="str">
        <x:v>LiveProvider contract and server-published event guidance.</x:v>
      </x:c>
    </x:row>
    <x:row r="8">
      <x:c r="A8" s="58" t="str">
        <x:v>SRC-003</x:v>
      </x:c>
      <x:c r="B8" s="55" t="str">
        <x:v>Refine notifications</x:v>
      </x:c>
      <x:c r="C8" s="55" t="str">
        <x:v>https://refine.dev/core/docs/notification/notification-provider/</x:v>
      </x:c>
      <x:c r="D8" s="55" t="str">
        <x:v>NotificationProvider contract for transient UI feedback.</x:v>
      </x:c>
    </x:row>
    <x:row r="9">
      <x:c r="A9" s="58" t="str">
        <x:v>SRC-004</x:v>
      </x:c>
      <x:c r="B9" s="55" t="str">
        <x:v>Bulletproof React</x:v>
      </x:c>
      <x:c r="C9" s="55" t="str">
        <x:v>https://github.com/alan2207/bulletproof-react</x:v>
      </x:c>
      <x:c r="D9" s="55" t="str">
        <x:v>About 35.7k stars; explicitly a reference architecture, not a boilerplate.</x:v>
      </x:c>
    </x:row>
    <x:row r="10">
      <x:c r="A10" s="58" t="str">
        <x:v>SRC-005</x:v>
      </x:c>
      <x:c r="B10" s="55" t="str">
        <x:v>NestJS boilerplate</x:v>
      </x:c>
      <x:c r="C10" s="55" t="str">
        <x:v>https://github.com/brocoders/nestjs-boilerplate</x:v>
      </x:c>
      <x:c r="D10" s="55" t="str">
        <x:v>About 4.4k stars; auth, TypeORM/Postgres, mail, file storage, Swagger, Docker, tests and CI.</x:v>
      </x:c>
    </x:row>
    <x:row r="11">
      <x:c r="A11" s="58" t="str">
        <x:v>SRC-006</x:v>
      </x:c>
      <x:c r="B11" s="55" t="str">
        <x:v>NestJS official starter</x:v>
      </x:c>
      <x:c r="C11" s="55" t="str">
        <x:v>https://github.com/nestjs/typescript-starter</x:v>
      </x:c>
      <x:c r="D11" s="55" t="str">
        <x:v>Official minimal starter; intentionally lacks application features.</x:v>
      </x:c>
    </x:row>
    <x:row r="12">
      <x:c r="A12" s="58" t="str">
        <x:v>SRC-007</x:v>
      </x:c>
      <x:c r="B12" s="55" t="str">
        <x:v>Compatible React boilerplate</x:v>
      </x:c>
      <x:c r="C12" s="55" t="str">
        <x:v>https://github.com/brocoders/extensive-react-boilerplate</x:v>
      </x:c>
      <x:c r="D12" s="55" t="str">
        <x:v>Explicit companion to the Brocoders backend; Next.js/MUI and more UI-opinionated.</x:v>
      </x:c>
    </x:row>
    <x:row r="13">
      <x:c r="A13" s="58" t="str">
        <x:v>SRC-008</x:v>
      </x:c>
      <x:c r="B13" s="55" t="str">
        <x:v>Socket.IO</x:v>
      </x:c>
      <x:c r="C13" s="55" t="str">
        <x:v>https://github.com/socketio/socket.io</x:v>
      </x:c>
      <x:c r="D13" s="55" t="str">
        <x:v>About 63.2k stars; rooms, reconnect and fallback transports.</x:v>
      </x:c>
    </x:row>
    <x:row r="14">
      <x:c r="A14" s="58" t="str">
        <x:v>SRC-009</x:v>
      </x:c>
      <x:c r="B14" s="55" t="str">
        <x:v>NestJS WebSocket adapter</x:v>
      </x:c>
      <x:c r="C14" s="55" t="str">
        <x:v>https://docs.nestjs.com/websockets/adapter</x:v>
      </x:c>
      <x:c r="D14" s="55" t="str">
        <x:v>Official Redis adapter pattern for scaled Socket.IO gateways.</x:v>
      </x:c>
    </x:row>
    <x:row r="15">
      <x:c r="A15" s="58" t="str">
        <x:v>SRC-010</x:v>
      </x:c>
      <x:c r="B15" s="55" t="str">
        <x:v>BullMQ</x:v>
      </x:c>
      <x:c r="C15" s="55" t="str">
        <x:v>https://github.com/taskforcesh/bullmq</x:v>
      </x:c>
      <x:c r="D15" s="55" t="str">
        <x:v>About 9.3k stars; distributed background job and batch processing.</x:v>
      </x:c>
    </x:row>
    <x:row r="16">
      <x:c r="A16" s="58" t="str">
        <x:v>SRC-011</x:v>
      </x:c>
      <x:c r="B16" s="55" t="str">
        <x:v>NestJS BullMQ</x:v>
      </x:c>
      <x:c r="C16" s="55" t="str">
        <x:v>https://github.com/nestjs/bull</x:v>
      </x:c>
      <x:c r="D16" s="55" t="str">
        <x:v>Official Nest modules for Bull and BullMQ.</x:v>
      </x:c>
    </x:row>
    <x:row r="17">
      <x:c r="A17" s="58" t="str">
        <x:v>SRC-012</x:v>
      </x:c>
      <x:c r="B17" s="55" t="str">
        <x:v>NestJS OpenAPI</x:v>
      </x:c>
      <x:c r="C17" s="55" t="str">
        <x:v>https://docs.nestjs.com/recipes/swagger</x:v>
      </x:c>
      <x:c r="D17" s="55" t="str">
        <x:v>Official OpenAPI generation from NestJS applications.</x:v>
      </x:c>
    </x:row>
    <x:row r="18">
      <x:c r="A18" s="58" t="str">
        <x:v>SRC-013</x:v>
      </x:c>
      <x:c r="B18" s="55" t="str">
        <x:v>TanStack Query</x:v>
      </x:c>
      <x:c r="C18" s="55" t="str">
        <x:v>https://github.com/TanStack/query</x:v>
      </x:c>
      <x:c r="D18" s="55" t="str">
        <x:v>About 50.1k stars; server-state and caching; also used by Refine.</x:v>
      </x:c>
    </x:row>
    <x:row r="19">
      <x:c r="A19" s="58" t="str">
        <x:v>SRC-014</x:v>
      </x:c>
      <x:c r="B19" s="55" t="str">
        <x:v>React Hook Form</x:v>
      </x:c>
      <x:c r="C19" s="55" t="str">
        <x:v>https://github.com/react-hook-form/react-hook-form</x:v>
      </x:c>
      <x:c r="D19" s="55" t="str">
        <x:v>Widely adopted form state management.</x:v>
      </x:c>
    </x:row>
    <x:row r="20">
      <x:c r="A20" s="58" t="str">
        <x:v>SRC-015</x:v>
      </x:c>
      <x:c r="B20" s="55" t="str">
        <x:v>Zod</x:v>
      </x:c>
      <x:c r="C20" s="55" t="str">
        <x:v>https://github.com/colinhacks/zod</x:v>
      </x:c>
      <x:c r="D20" s="55" t="str">
        <x:v>About 43.4k stars; TypeScript-first validation.</x:v>
      </x:c>
    </x:row>
    <x:row r="21">
      <x:c r="A21" s="59" t="str">
        <x:v>SRC-016</x:v>
      </x:c>
      <x:c r="B21" s="56" t="str">
        <x:v>Radix UI primitives</x:v>
      </x:c>
      <x:c r="C21" s="56" t="str">
        <x:v>https://github.com/radix-ui/primitives</x:v>
      </x:c>
      <x:c r="D21" s="56" t="str">
        <x:v>About 19.1k stars; accessible unstyled primitives.</x:v>
      </x:c>
    </x:row>
  </x:sheetData>
  <x:mergeCells>
    <x:mergeCell ref="A1:D1"/>
    <x:mergeCell ref="A2:D2"/>
  </x:mergeCells>
  <x:pageMargins left="0.7" right="0.7" top="0.75" bottom="0.75" header="0.3" footer="0.3"/>
</x:worksheet>
</file>